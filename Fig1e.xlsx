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paper5/submission20250814/submission(EST)20250814/Fig1117/Fig2c/"/>
    </mc:Choice>
  </mc:AlternateContent>
  <xr:revisionPtr revIDLastSave="0" documentId="13_ncr:1_{AA955C4F-5402-304C-A68E-C22A78982D00}" xr6:coauthVersionLast="47" xr6:coauthVersionMax="47" xr10:uidLastSave="{00000000-0000-0000-0000-000000000000}"/>
  <bookViews>
    <workbookView xWindow="5840" yWindow="-21000" windowWidth="38400" windowHeight="21000" xr2:uid="{D51B8280-91F9-004C-A59F-9B17A749A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AE3" i="1"/>
  <c r="AD4" i="1"/>
  <c r="AE4" i="1"/>
  <c r="AD5" i="1"/>
  <c r="AE5" i="1"/>
  <c r="AD6" i="1"/>
  <c r="AE6" i="1"/>
  <c r="AD7" i="1"/>
  <c r="AE7" i="1"/>
  <c r="AD8" i="1"/>
  <c r="AE8" i="1"/>
  <c r="AD9" i="1"/>
  <c r="AE9" i="1"/>
  <c r="AD10" i="1"/>
  <c r="AE10" i="1"/>
  <c r="AD11" i="1"/>
  <c r="AE11" i="1"/>
  <c r="AD12" i="1"/>
  <c r="AE12" i="1"/>
  <c r="AE2" i="1"/>
  <c r="AD2" i="1"/>
</calcChain>
</file>

<file path=xl/sharedStrings.xml><?xml version="1.0" encoding="utf-8"?>
<sst xmlns="http://schemas.openxmlformats.org/spreadsheetml/2006/main" count="48" uniqueCount="27">
  <si>
    <t>R-EB1</t>
  </si>
  <si>
    <t>R-EB2</t>
  </si>
  <si>
    <t>R-EB3</t>
  </si>
  <si>
    <t>R-EB4</t>
  </si>
  <si>
    <t>R-EB5</t>
  </si>
  <si>
    <t>L-EB1</t>
  </si>
  <si>
    <t>L-EB2</t>
  </si>
  <si>
    <t>L-EB3</t>
  </si>
  <si>
    <t>L-EB4</t>
  </si>
  <si>
    <t>min</t>
    <phoneticPr fontId="1" type="noConversion"/>
  </si>
  <si>
    <t>max</t>
    <phoneticPr fontId="1" type="noConversion"/>
  </si>
  <si>
    <t>(°C)</t>
    <phoneticPr fontId="1" type="noConversion"/>
  </si>
  <si>
    <t>T</t>
    <phoneticPr fontId="1" type="noConversion"/>
  </si>
  <si>
    <t>pH</t>
    <phoneticPr fontId="1" type="noConversion"/>
  </si>
  <si>
    <t xml:space="preserve">DO
</t>
    <phoneticPr fontId="1" type="noConversion"/>
  </si>
  <si>
    <t>(mg/L)</t>
  </si>
  <si>
    <t>Chl a</t>
    <phoneticPr fontId="1" type="noConversion"/>
  </si>
  <si>
    <t>TP</t>
    <phoneticPr fontId="1" type="noConversion"/>
  </si>
  <si>
    <r>
      <t>NH</t>
    </r>
    <r>
      <rPr>
        <sz val="12"/>
        <color theme="1"/>
        <rFont val="Cambria Math"/>
        <family val="2"/>
        <charset val="1"/>
      </rPr>
      <t>₃</t>
    </r>
    <r>
      <rPr>
        <sz val="12"/>
        <color theme="1"/>
        <rFont val="Times New Roman"/>
        <family val="1"/>
      </rPr>
      <t>-N</t>
    </r>
    <phoneticPr fontId="1" type="noConversion"/>
  </si>
  <si>
    <t>TN</t>
    <phoneticPr fontId="1" type="noConversion"/>
  </si>
  <si>
    <t xml:space="preserve"> COD</t>
    <phoneticPr fontId="1" type="noConversion"/>
  </si>
  <si>
    <t>(cm)</t>
    <phoneticPr fontId="1" type="noConversion"/>
  </si>
  <si>
    <t>SD</t>
    <phoneticPr fontId="1" type="noConversion"/>
  </si>
  <si>
    <t>(mV)</t>
    <phoneticPr fontId="1" type="noConversion"/>
  </si>
  <si>
    <t>ORP</t>
    <phoneticPr fontId="1" type="noConversion"/>
  </si>
  <si>
    <t>S</t>
    <phoneticPr fontId="1" type="noConversion"/>
  </si>
  <si>
    <t>(‰)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</si>
</sst>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Cambria Math"/>
      <family val="2"/>
      <charset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2522-F965-BE42-AFA0-A5304D37E698}">
  <dimension ref="A1:AE12"/>
  <sheetViews>
    <sheetView tabSelected="1" zoomScale="116" workbookViewId="0">
      <selection activeCell="B4" sqref="B4"/>
    </sheetView>
  </sheetViews>
  <sheetFormatPr baseColWidth="10" defaultRowHeight="16"/>
  <cols>
    <col min="1" max="2" width="6.6640625" style="1" customWidth="1"/>
    <col min="3" max="29" width="5.83203125" customWidth="1"/>
  </cols>
  <sheetData>
    <row r="1" spans="1:31">
      <c r="A1" s="1">
        <v>1</v>
      </c>
      <c r="C1" t="s">
        <v>0</v>
      </c>
      <c r="D1" t="s">
        <v>9</v>
      </c>
      <c r="E1" t="s">
        <v>10</v>
      </c>
      <c r="F1" t="s">
        <v>1</v>
      </c>
      <c r="G1" t="s">
        <v>9</v>
      </c>
      <c r="H1" t="s">
        <v>10</v>
      </c>
      <c r="I1" t="s">
        <v>2</v>
      </c>
      <c r="J1" t="s">
        <v>9</v>
      </c>
      <c r="K1" t="s">
        <v>10</v>
      </c>
      <c r="L1" t="s">
        <v>3</v>
      </c>
      <c r="M1" t="s">
        <v>9</v>
      </c>
      <c r="N1" t="s">
        <v>10</v>
      </c>
      <c r="O1" t="s">
        <v>4</v>
      </c>
      <c r="P1" t="s">
        <v>9</v>
      </c>
      <c r="Q1" t="s">
        <v>10</v>
      </c>
      <c r="R1" t="s">
        <v>5</v>
      </c>
      <c r="S1" t="s">
        <v>9</v>
      </c>
      <c r="T1" t="s">
        <v>10</v>
      </c>
      <c r="U1" t="s">
        <v>6</v>
      </c>
      <c r="V1" t="s">
        <v>9</v>
      </c>
      <c r="W1" t="s">
        <v>10</v>
      </c>
      <c r="X1" t="s">
        <v>7</v>
      </c>
      <c r="Y1" t="s">
        <v>9</v>
      </c>
      <c r="Z1" t="s">
        <v>10</v>
      </c>
      <c r="AA1" t="s">
        <v>8</v>
      </c>
      <c r="AB1" t="s">
        <v>9</v>
      </c>
      <c r="AC1" t="s">
        <v>10</v>
      </c>
    </row>
    <row r="2" spans="1:31" ht="17">
      <c r="A2" s="2" t="s">
        <v>12</v>
      </c>
      <c r="B2" s="2" t="s">
        <v>11</v>
      </c>
      <c r="C2">
        <v>26.560000000000002</v>
      </c>
      <c r="D2">
        <v>30.8</v>
      </c>
      <c r="E2">
        <v>22.2</v>
      </c>
      <c r="F2">
        <v>25.56</v>
      </c>
      <c r="G2">
        <v>31.2</v>
      </c>
      <c r="H2">
        <v>18.5</v>
      </c>
      <c r="I2">
        <v>25.240000000000002</v>
      </c>
      <c r="J2">
        <v>31.2</v>
      </c>
      <c r="K2">
        <v>19.399999999999999</v>
      </c>
      <c r="L2">
        <v>25.06</v>
      </c>
      <c r="M2">
        <v>32.799999999999997</v>
      </c>
      <c r="N2">
        <v>19.2</v>
      </c>
      <c r="O2">
        <v>23.639999999999997</v>
      </c>
      <c r="P2">
        <v>34.200000000000003</v>
      </c>
      <c r="Q2">
        <v>18.100000000000001</v>
      </c>
      <c r="R2">
        <v>25.5</v>
      </c>
      <c r="S2">
        <v>30.2</v>
      </c>
      <c r="T2">
        <v>20.9</v>
      </c>
      <c r="U2">
        <v>25.360000000000003</v>
      </c>
      <c r="V2">
        <v>31.6</v>
      </c>
      <c r="W2">
        <v>19.899999999999999</v>
      </c>
      <c r="X2">
        <v>23.94</v>
      </c>
      <c r="Y2">
        <v>31.3</v>
      </c>
      <c r="Z2">
        <v>17.5</v>
      </c>
      <c r="AA2">
        <v>23.4</v>
      </c>
      <c r="AB2">
        <v>31.4</v>
      </c>
      <c r="AC2">
        <v>16.8</v>
      </c>
      <c r="AD2">
        <f>MAX(C2:AC2)</f>
        <v>34.200000000000003</v>
      </c>
      <c r="AE2">
        <f>MIN(C2:AC2)</f>
        <v>16.8</v>
      </c>
    </row>
    <row r="3" spans="1:31" ht="17">
      <c r="A3" s="2" t="s">
        <v>13</v>
      </c>
      <c r="B3" s="2"/>
      <c r="C3">
        <v>7.5193333333333321</v>
      </c>
      <c r="D3">
        <v>7.88</v>
      </c>
      <c r="E3">
        <v>7.12</v>
      </c>
      <c r="F3">
        <v>7.6453333333333324</v>
      </c>
      <c r="G3">
        <v>8.01</v>
      </c>
      <c r="H3">
        <v>7.32</v>
      </c>
      <c r="I3">
        <v>7.7919999999999998</v>
      </c>
      <c r="J3">
        <v>8.07</v>
      </c>
      <c r="K3">
        <v>7.51</v>
      </c>
      <c r="L3">
        <v>7.7939999999999996</v>
      </c>
      <c r="M3">
        <v>8.07</v>
      </c>
      <c r="N3">
        <v>7.52</v>
      </c>
      <c r="O3">
        <v>7.8613333333333344</v>
      </c>
      <c r="P3">
        <v>8.32</v>
      </c>
      <c r="Q3">
        <v>7.41</v>
      </c>
      <c r="R3">
        <v>6.9439999999999991</v>
      </c>
      <c r="S3">
        <v>7.13</v>
      </c>
      <c r="T3">
        <v>6.61</v>
      </c>
      <c r="U3">
        <v>6.9480000000000013</v>
      </c>
      <c r="V3">
        <v>7.17</v>
      </c>
      <c r="W3">
        <v>6.62</v>
      </c>
      <c r="X3">
        <v>7.0893333333333333</v>
      </c>
      <c r="Y3">
        <v>7.42</v>
      </c>
      <c r="Z3">
        <v>6.4</v>
      </c>
      <c r="AA3">
        <v>7.2280000000000006</v>
      </c>
      <c r="AB3">
        <v>7.39</v>
      </c>
      <c r="AC3">
        <v>6.9</v>
      </c>
      <c r="AD3">
        <f t="shared" ref="AD3:AD12" si="0">MAX(C3:AC3)</f>
        <v>8.32</v>
      </c>
      <c r="AE3">
        <f t="shared" ref="AE3:AE12" si="1">MIN(C3:AC3)</f>
        <v>6.4</v>
      </c>
    </row>
    <row r="4" spans="1:31" ht="34">
      <c r="A4" s="2" t="s">
        <v>14</v>
      </c>
      <c r="B4" s="2" t="s">
        <v>15</v>
      </c>
      <c r="C4">
        <v>6.243846153846154</v>
      </c>
      <c r="D4">
        <v>7.26</v>
      </c>
      <c r="E4">
        <v>5.35</v>
      </c>
      <c r="F4">
        <v>6.5792307692307697</v>
      </c>
      <c r="G4">
        <v>8.0399999999999991</v>
      </c>
      <c r="H4">
        <v>5.56</v>
      </c>
      <c r="I4">
        <v>6.571538461538462</v>
      </c>
      <c r="J4">
        <v>7.22</v>
      </c>
      <c r="K4">
        <v>5.6</v>
      </c>
      <c r="L4">
        <v>6.6315384615384625</v>
      </c>
      <c r="M4">
        <v>9.3099999999999987</v>
      </c>
      <c r="N4">
        <v>4.6500000000000004</v>
      </c>
      <c r="O4">
        <v>6.8092307692307692</v>
      </c>
      <c r="P4">
        <v>10.66</v>
      </c>
      <c r="Q4">
        <v>4.41</v>
      </c>
      <c r="R4">
        <v>7.8407692307692312</v>
      </c>
      <c r="S4">
        <v>13.03</v>
      </c>
      <c r="T4">
        <v>4.82</v>
      </c>
      <c r="U4">
        <v>8.9199999999999982</v>
      </c>
      <c r="V4">
        <v>14.33</v>
      </c>
      <c r="W4">
        <v>5.73</v>
      </c>
      <c r="X4">
        <v>6.388461538461538</v>
      </c>
      <c r="Y4">
        <v>9.120000000000001</v>
      </c>
      <c r="Z4">
        <v>4.2699999999999996</v>
      </c>
      <c r="AA4">
        <v>6.6923076923076934</v>
      </c>
      <c r="AB4">
        <v>9.51</v>
      </c>
      <c r="AC4">
        <v>5.13</v>
      </c>
      <c r="AD4">
        <f t="shared" si="0"/>
        <v>14.33</v>
      </c>
      <c r="AE4">
        <f t="shared" si="1"/>
        <v>4.2699999999999996</v>
      </c>
    </row>
    <row r="5" spans="1:31" ht="17">
      <c r="A5" s="2" t="s">
        <v>25</v>
      </c>
      <c r="B5" s="2" t="s">
        <v>26</v>
      </c>
      <c r="C5">
        <v>1.3784615384615384</v>
      </c>
      <c r="D5">
        <v>1.55</v>
      </c>
      <c r="E5">
        <v>1.22</v>
      </c>
      <c r="F5">
        <v>1.3530769230769231</v>
      </c>
      <c r="G5">
        <v>1.58</v>
      </c>
      <c r="H5">
        <v>1.1299999999999999</v>
      </c>
      <c r="I5">
        <v>1.3407692307692307</v>
      </c>
      <c r="J5">
        <v>1.57</v>
      </c>
      <c r="K5">
        <v>0</v>
      </c>
      <c r="L5">
        <v>1.5307692307692307</v>
      </c>
      <c r="M5">
        <v>2.11</v>
      </c>
      <c r="N5">
        <v>1.07</v>
      </c>
      <c r="O5">
        <v>8.3292307692307688</v>
      </c>
      <c r="P5">
        <v>17.7</v>
      </c>
      <c r="Q5">
        <v>1.77</v>
      </c>
      <c r="R5">
        <v>0.2838461538461538</v>
      </c>
      <c r="S5">
        <v>1.25</v>
      </c>
      <c r="T5">
        <v>0</v>
      </c>
      <c r="U5">
        <v>0.24000000000000002</v>
      </c>
      <c r="V5">
        <v>1.04</v>
      </c>
      <c r="W5">
        <v>0</v>
      </c>
      <c r="X5">
        <v>0</v>
      </c>
      <c r="Y5">
        <v>0</v>
      </c>
      <c r="Z5">
        <v>0</v>
      </c>
      <c r="AA5">
        <v>0.52307692307692311</v>
      </c>
      <c r="AB5">
        <v>2.2999999999999998</v>
      </c>
      <c r="AC5">
        <v>0</v>
      </c>
      <c r="AD5">
        <f t="shared" si="0"/>
        <v>17.7</v>
      </c>
      <c r="AE5">
        <f t="shared" si="1"/>
        <v>0</v>
      </c>
    </row>
    <row r="6" spans="1:31" ht="17">
      <c r="A6" s="2" t="s">
        <v>24</v>
      </c>
      <c r="B6" s="2" t="s">
        <v>23</v>
      </c>
      <c r="C6">
        <v>196</v>
      </c>
      <c r="D6">
        <v>260</v>
      </c>
      <c r="E6">
        <v>133</v>
      </c>
      <c r="F6">
        <v>181.15384615384616</v>
      </c>
      <c r="G6">
        <v>278</v>
      </c>
      <c r="H6">
        <v>151</v>
      </c>
      <c r="I6">
        <v>176.76923076923077</v>
      </c>
      <c r="J6">
        <v>247</v>
      </c>
      <c r="K6">
        <v>120</v>
      </c>
      <c r="L6">
        <v>174.61538461538461</v>
      </c>
      <c r="M6">
        <v>204</v>
      </c>
      <c r="N6">
        <v>108</v>
      </c>
      <c r="O6">
        <v>192.07692307692307</v>
      </c>
      <c r="P6">
        <v>272</v>
      </c>
      <c r="Q6">
        <v>124</v>
      </c>
      <c r="R6">
        <v>226.53846153846155</v>
      </c>
      <c r="S6">
        <v>293</v>
      </c>
      <c r="T6">
        <v>195</v>
      </c>
      <c r="U6">
        <v>227.07692307692307</v>
      </c>
      <c r="V6">
        <v>308</v>
      </c>
      <c r="W6">
        <v>198</v>
      </c>
      <c r="X6">
        <v>219.23076923076923</v>
      </c>
      <c r="Y6">
        <v>291</v>
      </c>
      <c r="Z6">
        <v>201</v>
      </c>
      <c r="AA6">
        <v>220.3</v>
      </c>
      <c r="AB6">
        <v>233</v>
      </c>
      <c r="AC6">
        <v>201</v>
      </c>
      <c r="AD6">
        <f t="shared" si="0"/>
        <v>308</v>
      </c>
      <c r="AE6">
        <f t="shared" si="1"/>
        <v>108</v>
      </c>
    </row>
    <row r="7" spans="1:31" ht="17">
      <c r="A7" s="2" t="s">
        <v>22</v>
      </c>
      <c r="B7" s="2" t="s">
        <v>21</v>
      </c>
      <c r="C7">
        <v>19</v>
      </c>
      <c r="D7">
        <v>35</v>
      </c>
      <c r="E7">
        <v>10</v>
      </c>
      <c r="F7">
        <v>42</v>
      </c>
      <c r="G7">
        <v>50</v>
      </c>
      <c r="H7">
        <v>30</v>
      </c>
      <c r="I7">
        <v>74</v>
      </c>
      <c r="J7">
        <v>85</v>
      </c>
      <c r="K7">
        <v>60</v>
      </c>
      <c r="L7">
        <v>65</v>
      </c>
      <c r="M7">
        <v>80</v>
      </c>
      <c r="N7">
        <v>40</v>
      </c>
      <c r="O7">
        <v>69</v>
      </c>
      <c r="P7">
        <v>90</v>
      </c>
      <c r="Q7">
        <v>45</v>
      </c>
      <c r="R7">
        <v>20</v>
      </c>
      <c r="S7">
        <v>25</v>
      </c>
      <c r="T7">
        <v>15</v>
      </c>
      <c r="U7">
        <v>32</v>
      </c>
      <c r="V7">
        <v>55</v>
      </c>
      <c r="W7">
        <v>10</v>
      </c>
      <c r="X7">
        <v>117</v>
      </c>
      <c r="Y7">
        <v>180</v>
      </c>
      <c r="Z7">
        <v>80</v>
      </c>
      <c r="AA7">
        <v>106</v>
      </c>
      <c r="AB7">
        <v>140</v>
      </c>
      <c r="AC7">
        <v>70</v>
      </c>
      <c r="AD7">
        <f t="shared" si="0"/>
        <v>180</v>
      </c>
      <c r="AE7">
        <f t="shared" si="1"/>
        <v>10</v>
      </c>
    </row>
    <row r="8" spans="1:31" ht="17">
      <c r="A8" s="2" t="s">
        <v>20</v>
      </c>
      <c r="B8" s="2" t="s">
        <v>15</v>
      </c>
      <c r="C8">
        <v>5.8021666666666674</v>
      </c>
      <c r="D8">
        <v>9.8670000000000009</v>
      </c>
      <c r="E8">
        <v>0.50600000000000001</v>
      </c>
      <c r="F8">
        <v>5.5027500000000016</v>
      </c>
      <c r="G8">
        <v>8.0960000000000001</v>
      </c>
      <c r="H8">
        <v>2.5299999999999998</v>
      </c>
      <c r="I8">
        <v>10.477416666666668</v>
      </c>
      <c r="J8">
        <v>25.55</v>
      </c>
      <c r="K8">
        <v>2.7829999999999999</v>
      </c>
      <c r="L8">
        <v>12.052999999999997</v>
      </c>
      <c r="M8">
        <v>25.3</v>
      </c>
      <c r="N8">
        <v>3.2890000000000001</v>
      </c>
      <c r="O8">
        <v>14.335000000000001</v>
      </c>
      <c r="P8">
        <v>15.39</v>
      </c>
      <c r="Q8">
        <v>13.15</v>
      </c>
      <c r="R8">
        <v>10.101642857142854</v>
      </c>
      <c r="S8">
        <v>27.32</v>
      </c>
      <c r="T8">
        <v>3.2890000000000001</v>
      </c>
      <c r="U8">
        <v>8.5645000000000007</v>
      </c>
      <c r="V8">
        <v>17.2</v>
      </c>
      <c r="W8">
        <v>0</v>
      </c>
      <c r="X8">
        <v>14.871714285714285</v>
      </c>
      <c r="Y8">
        <v>28.59</v>
      </c>
      <c r="Z8">
        <v>1.518</v>
      </c>
      <c r="AA8">
        <v>5.3485714285714296</v>
      </c>
      <c r="AB8">
        <v>17.71</v>
      </c>
      <c r="AC8">
        <v>0.75900000000000001</v>
      </c>
      <c r="AD8">
        <f t="shared" si="0"/>
        <v>28.59</v>
      </c>
      <c r="AE8">
        <f t="shared" si="1"/>
        <v>0</v>
      </c>
    </row>
    <row r="9" spans="1:31" ht="17">
      <c r="A9" s="2" t="s">
        <v>19</v>
      </c>
      <c r="B9" s="2" t="s">
        <v>15</v>
      </c>
      <c r="C9">
        <v>10.234500000000001</v>
      </c>
      <c r="D9">
        <v>13.215</v>
      </c>
      <c r="E9">
        <v>7.1970000000000001</v>
      </c>
      <c r="F9">
        <v>9.43</v>
      </c>
      <c r="G9">
        <v>14.234999999999999</v>
      </c>
      <c r="H9">
        <v>4.6319999999999997</v>
      </c>
      <c r="I9">
        <v>11.190333333333335</v>
      </c>
      <c r="J9">
        <v>15.342000000000001</v>
      </c>
      <c r="K9">
        <v>9.09</v>
      </c>
      <c r="L9">
        <v>8.5836000000000006</v>
      </c>
      <c r="M9">
        <v>10.188000000000001</v>
      </c>
      <c r="N9">
        <v>7.1580000000000004</v>
      </c>
      <c r="O9">
        <v>10.036</v>
      </c>
      <c r="P9">
        <v>10.481999999999999</v>
      </c>
      <c r="Q9">
        <v>9.1530000000000005</v>
      </c>
      <c r="R9">
        <v>10.735333333333333</v>
      </c>
      <c r="S9">
        <v>14.493</v>
      </c>
      <c r="T9">
        <v>8.5229999999999997</v>
      </c>
      <c r="U9">
        <v>13.859249999999999</v>
      </c>
      <c r="V9">
        <v>23.175000000000001</v>
      </c>
      <c r="W9">
        <v>8.8170000000000002</v>
      </c>
      <c r="X9">
        <v>10.6335</v>
      </c>
      <c r="Y9">
        <v>13.016999999999999</v>
      </c>
      <c r="Z9">
        <v>8.0790000000000006</v>
      </c>
      <c r="AA9">
        <v>13.715666666666667</v>
      </c>
      <c r="AB9">
        <v>20.678999999999998</v>
      </c>
      <c r="AC9">
        <v>8.3640000000000008</v>
      </c>
      <c r="AD9">
        <f t="shared" si="0"/>
        <v>23.175000000000001</v>
      </c>
      <c r="AE9">
        <f t="shared" si="1"/>
        <v>4.6319999999999997</v>
      </c>
    </row>
    <row r="10" spans="1:31" ht="34">
      <c r="A10" s="2" t="s">
        <v>18</v>
      </c>
      <c r="B10" s="2" t="s">
        <v>15</v>
      </c>
      <c r="C10">
        <v>0.3564706133333333</v>
      </c>
      <c r="D10">
        <v>0.67347049999999997</v>
      </c>
      <c r="E10">
        <v>0.1770738</v>
      </c>
      <c r="F10">
        <v>0.25000742666666664</v>
      </c>
      <c r="G10">
        <v>0.50009400000000004</v>
      </c>
      <c r="H10">
        <v>5.7685E-2</v>
      </c>
      <c r="I10">
        <v>0.59807937333333328</v>
      </c>
      <c r="J10">
        <v>1.5642670000000001</v>
      </c>
      <c r="K10">
        <v>5.7685E-2</v>
      </c>
      <c r="L10">
        <v>0.85452766000000002</v>
      </c>
      <c r="M10">
        <v>1.6419874999999999</v>
      </c>
      <c r="N10">
        <v>0.25497550000000002</v>
      </c>
      <c r="O10">
        <v>0.87474837333333322</v>
      </c>
      <c r="P10">
        <v>1.7137294999999999</v>
      </c>
      <c r="Q10">
        <v>0.39248100000000002</v>
      </c>
      <c r="R10">
        <v>0.29877855333333331</v>
      </c>
      <c r="S10">
        <v>0.48215849999999999</v>
      </c>
      <c r="T10">
        <v>5.9050999999999999E-2</v>
      </c>
      <c r="U10">
        <v>0.34478589333333337</v>
      </c>
      <c r="V10">
        <v>0.63162099999999999</v>
      </c>
      <c r="W10">
        <v>0.1222775</v>
      </c>
      <c r="X10">
        <v>0.42277602666666675</v>
      </c>
      <c r="Y10">
        <v>0.8886965</v>
      </c>
      <c r="Z10">
        <v>0.1812889</v>
      </c>
      <c r="AA10">
        <v>0.75917502000000014</v>
      </c>
      <c r="AB10">
        <v>1.289256</v>
      </c>
      <c r="AC10">
        <v>0.25294559999999999</v>
      </c>
      <c r="AD10">
        <f t="shared" si="0"/>
        <v>1.7137294999999999</v>
      </c>
      <c r="AE10">
        <f t="shared" si="1"/>
        <v>5.7685E-2</v>
      </c>
    </row>
    <row r="11" spans="1:31" ht="17">
      <c r="A11" s="2" t="s">
        <v>17</v>
      </c>
      <c r="B11" s="2" t="s">
        <v>15</v>
      </c>
      <c r="C11">
        <v>0.28084305999999998</v>
      </c>
      <c r="D11">
        <v>0.7805936</v>
      </c>
      <c r="E11">
        <v>2.4855200000000001E-2</v>
      </c>
      <c r="F11">
        <v>0.25342902</v>
      </c>
      <c r="G11">
        <v>0.48607790000000001</v>
      </c>
      <c r="H11">
        <v>1.3741400000000001E-2</v>
      </c>
      <c r="I11">
        <v>0.25009488000000002</v>
      </c>
      <c r="J11">
        <v>0.41939510000000002</v>
      </c>
      <c r="K11">
        <v>3.5969000000000001E-2</v>
      </c>
      <c r="L11">
        <v>0.32307549999999996</v>
      </c>
      <c r="M11">
        <v>0.41939510000000002</v>
      </c>
      <c r="N11">
        <v>9.1537999999999994E-2</v>
      </c>
      <c r="O11">
        <v>0.34937815999999999</v>
      </c>
      <c r="P11">
        <v>0.44717960000000001</v>
      </c>
      <c r="Q11">
        <v>0.19156219999999999</v>
      </c>
      <c r="R11">
        <v>0.48391976000000003</v>
      </c>
      <c r="S11">
        <v>0.63055729999999999</v>
      </c>
      <c r="T11">
        <v>0.37493989999999999</v>
      </c>
      <c r="U11">
        <v>0.34974862000000007</v>
      </c>
      <c r="V11">
        <v>0.45273649999999999</v>
      </c>
      <c r="W11">
        <v>0.1193225</v>
      </c>
      <c r="X11">
        <v>0.28195444000000003</v>
      </c>
      <c r="Y11">
        <v>0.4360658</v>
      </c>
      <c r="Z11">
        <v>0.11376559999999999</v>
      </c>
      <c r="AA11">
        <v>0.28364797142857145</v>
      </c>
      <c r="AB11">
        <v>0.37493989999999999</v>
      </c>
      <c r="AC11">
        <v>0.1193225</v>
      </c>
      <c r="AD11">
        <f t="shared" si="0"/>
        <v>0.7805936</v>
      </c>
      <c r="AE11">
        <f t="shared" si="1"/>
        <v>1.3741400000000001E-2</v>
      </c>
    </row>
    <row r="12" spans="1:31" ht="17">
      <c r="A12" s="2" t="s">
        <v>16</v>
      </c>
      <c r="B12" s="2" t="s">
        <v>15</v>
      </c>
      <c r="C12">
        <v>0.23239800000000002</v>
      </c>
      <c r="D12">
        <v>0.56179999999999997</v>
      </c>
      <c r="E12">
        <v>6.3250000000000001E-2</v>
      </c>
      <c r="F12">
        <v>0.13116</v>
      </c>
      <c r="G12">
        <v>0.17580000000000001</v>
      </c>
      <c r="H12">
        <v>6.3820000000000002E-2</v>
      </c>
      <c r="I12">
        <v>0.56242999999999999</v>
      </c>
      <c r="J12">
        <v>1.21661</v>
      </c>
      <c r="K12">
        <v>0.16127999999999998</v>
      </c>
      <c r="L12">
        <v>0.28005599999999997</v>
      </c>
      <c r="M12">
        <v>0.35695999999999994</v>
      </c>
      <c r="N12">
        <v>0.16968</v>
      </c>
      <c r="O12">
        <v>0.40885199999999999</v>
      </c>
      <c r="P12">
        <v>0.85436999999999996</v>
      </c>
      <c r="Q12">
        <v>0.20483999999999999</v>
      </c>
      <c r="R12">
        <v>0.12279</v>
      </c>
      <c r="S12">
        <v>0.16968</v>
      </c>
      <c r="T12">
        <v>6.3250000000000001E-2</v>
      </c>
      <c r="U12">
        <v>0.372612</v>
      </c>
      <c r="V12">
        <v>1.0261</v>
      </c>
      <c r="W12">
        <v>9.1149999999999995E-2</v>
      </c>
      <c r="X12">
        <v>0.65026600000000001</v>
      </c>
      <c r="Y12">
        <v>1.21661</v>
      </c>
      <c r="Z12">
        <v>0.22624</v>
      </c>
      <c r="AA12">
        <v>0.74425999999999992</v>
      </c>
      <c r="AB12">
        <v>1.8889499999999999</v>
      </c>
      <c r="AC12">
        <v>0.16968</v>
      </c>
      <c r="AD12">
        <f t="shared" si="0"/>
        <v>1.8889499999999999</v>
      </c>
      <c r="AE12">
        <f t="shared" si="1"/>
        <v>6.3250000000000001E-2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2025-11-21T01:38:59Z</dcterms:created>
  <dcterms:modified xsi:type="dcterms:W3CDTF">2026-01-28T07:43:57Z</dcterms:modified>
</cp:coreProperties>
</file>