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50814/Fig1117/Fig3b/总浓度/"/>
    </mc:Choice>
  </mc:AlternateContent>
  <xr:revisionPtr revIDLastSave="0" documentId="13_ncr:1_{6121AFAE-D7AD-C447-995F-0271874FEC77}" xr6:coauthVersionLast="47" xr6:coauthVersionMax="47" xr10:uidLastSave="{00000000-0000-0000-0000-000000000000}"/>
  <bookViews>
    <workbookView xWindow="1080" yWindow="-20980" windowWidth="38400" windowHeight="20980" xr2:uid="{29FB7CB3-FE7F-FF4D-8E91-1963F53FF727}"/>
  </bookViews>
  <sheets>
    <sheet name="Sheet3" sheetId="3" r:id="rId1"/>
    <sheet name="Sheet1" sheetId="1" r:id="rId2"/>
    <sheet name="Sheet2" sheetId="2" r:id="rId3"/>
  </sheets>
  <definedNames>
    <definedName name="_xlnm._FilterDatabase" localSheetId="1" hidden="1">Sheet1!$A$1:$AL$172</definedName>
    <definedName name="_xlnm._FilterDatabase" localSheetId="2" hidden="1">Sheet2!$A$1:$N$179</definedName>
    <definedName name="OLE_LINK4" localSheetId="2">Sheet2!$B$3</definedName>
    <definedName name="OLE_LINK5" localSheetId="2">Sheet2!$B$83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G14" i="1"/>
  <c r="G15" i="1"/>
  <c r="G16" i="1"/>
  <c r="G17" i="1"/>
  <c r="G18" i="1"/>
  <c r="G19" i="1"/>
  <c r="G20" i="1"/>
  <c r="G21" i="1"/>
  <c r="G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C14" i="1"/>
  <c r="C15" i="1"/>
  <c r="C16" i="1"/>
  <c r="C17" i="1"/>
  <c r="C18" i="1"/>
  <c r="C19" i="1"/>
  <c r="C20" i="1"/>
  <c r="C21" i="1"/>
  <c r="C13" i="1"/>
  <c r="D13" i="1"/>
  <c r="E13" i="1"/>
  <c r="F13" i="1"/>
  <c r="B14" i="1"/>
  <c r="B15" i="1"/>
  <c r="B16" i="1"/>
  <c r="B17" i="1"/>
  <c r="B18" i="1"/>
  <c r="B19" i="1"/>
  <c r="B20" i="1"/>
  <c r="B21" i="1"/>
  <c r="B13" i="1"/>
  <c r="G11" i="1"/>
  <c r="B11" i="1"/>
  <c r="G180" i="2"/>
  <c r="H180" i="2"/>
  <c r="I180" i="2"/>
  <c r="J180" i="2"/>
  <c r="K180" i="2"/>
  <c r="L180" i="2"/>
  <c r="M180" i="2"/>
  <c r="N180" i="2"/>
  <c r="F180" i="2"/>
  <c r="G169" i="2"/>
  <c r="H169" i="2"/>
  <c r="I169" i="2"/>
  <c r="J169" i="2"/>
  <c r="K169" i="2"/>
  <c r="L169" i="2"/>
  <c r="M169" i="2"/>
  <c r="N169" i="2"/>
  <c r="F169" i="2"/>
  <c r="G150" i="2"/>
  <c r="H150" i="2"/>
  <c r="I150" i="2"/>
  <c r="J150" i="2"/>
  <c r="K150" i="2"/>
  <c r="L150" i="2"/>
  <c r="M150" i="2"/>
  <c r="N150" i="2"/>
  <c r="F150" i="2"/>
  <c r="G81" i="2"/>
  <c r="H81" i="2"/>
  <c r="I81" i="2"/>
  <c r="J81" i="2"/>
  <c r="K81" i="2"/>
  <c r="L81" i="2"/>
  <c r="M81" i="2"/>
  <c r="N81" i="2"/>
  <c r="F81" i="2"/>
  <c r="G69" i="2"/>
  <c r="H69" i="2"/>
  <c r="I69" i="2"/>
  <c r="J69" i="2"/>
  <c r="K69" i="2"/>
  <c r="L69" i="2"/>
  <c r="M69" i="2"/>
  <c r="N69" i="2"/>
  <c r="F69" i="2"/>
  <c r="G51" i="2"/>
  <c r="H51" i="2"/>
  <c r="I51" i="2"/>
  <c r="J51" i="2"/>
  <c r="K51" i="2"/>
  <c r="L51" i="2"/>
  <c r="M51" i="2"/>
  <c r="N51" i="2"/>
  <c r="F51" i="2"/>
  <c r="G30" i="2"/>
  <c r="H30" i="2"/>
  <c r="I30" i="2"/>
  <c r="J30" i="2"/>
  <c r="K30" i="2"/>
  <c r="L30" i="2"/>
  <c r="M30" i="2"/>
  <c r="N30" i="2"/>
  <c r="F30" i="2"/>
  <c r="G25" i="2"/>
  <c r="H25" i="2"/>
  <c r="I25" i="2"/>
  <c r="J25" i="2"/>
  <c r="K25" i="2"/>
  <c r="L25" i="2"/>
  <c r="M25" i="2"/>
  <c r="N25" i="2"/>
  <c r="F25" i="2"/>
  <c r="G5" i="2"/>
  <c r="H5" i="2"/>
  <c r="I5" i="2"/>
  <c r="J5" i="2"/>
  <c r="K5" i="2"/>
  <c r="L5" i="2"/>
  <c r="M5" i="2"/>
  <c r="N5" i="2"/>
  <c r="F5" i="2"/>
</calcChain>
</file>

<file path=xl/sharedStrings.xml><?xml version="1.0" encoding="utf-8"?>
<sst xmlns="http://schemas.openxmlformats.org/spreadsheetml/2006/main" count="745" uniqueCount="533">
  <si>
    <t>R-EB2</t>
  </si>
  <si>
    <t>L-EB4</t>
  </si>
  <si>
    <t>R-EB5</t>
  </si>
  <si>
    <t>R-EB3</t>
  </si>
  <si>
    <t>R-EB4</t>
  </si>
  <si>
    <t>L-EB2</t>
  </si>
  <si>
    <t>L-EB3</t>
  </si>
  <si>
    <t>Bisphenol A</t>
  </si>
  <si>
    <t>Bisphenol</t>
  </si>
  <si>
    <t>BPA</t>
  </si>
  <si>
    <t>Diclofenac</t>
  </si>
  <si>
    <t>Pharmaceutical</t>
  </si>
  <si>
    <t>DCF</t>
  </si>
  <si>
    <t>Dimetridazole</t>
  </si>
  <si>
    <t>DMZ</t>
  </si>
  <si>
    <t>Fluconazole</t>
  </si>
  <si>
    <t>FLZ</t>
  </si>
  <si>
    <t>Oseltamivir</t>
  </si>
  <si>
    <t>OST</t>
  </si>
  <si>
    <t>Androsterone</t>
  </si>
  <si>
    <t>Hormones</t>
  </si>
  <si>
    <t>AND</t>
  </si>
  <si>
    <t>Sulfamethoxazole</t>
  </si>
  <si>
    <t>Antibiotics</t>
  </si>
  <si>
    <t>SMX</t>
  </si>
  <si>
    <t>Flumequine</t>
  </si>
  <si>
    <t>FLQ</t>
  </si>
  <si>
    <t>Ofloxacin</t>
  </si>
  <si>
    <t>OFL</t>
  </si>
  <si>
    <t>Roxithromycin</t>
  </si>
  <si>
    <t>ROX</t>
  </si>
  <si>
    <t>Triethyl phosphate</t>
  </si>
  <si>
    <t>OPEs</t>
  </si>
  <si>
    <t>TEP</t>
  </si>
  <si>
    <t>Dibutyl phosphate</t>
  </si>
  <si>
    <t xml:space="preserve"> DBP</t>
  </si>
  <si>
    <t>Triisobutyl phosphate</t>
  </si>
  <si>
    <t>TiBP</t>
  </si>
  <si>
    <t>Triphenylphosphine oxide</t>
  </si>
  <si>
    <t>TPPO</t>
  </si>
  <si>
    <t>Tris(2-chloroethyl) phosphate</t>
  </si>
  <si>
    <t>TCEP</t>
  </si>
  <si>
    <t>Tris(2-chloropropyl) phosphate</t>
  </si>
  <si>
    <t>TCPP</t>
  </si>
  <si>
    <t>Tris(1,3-dichloro-2-propyl) phosphate</t>
  </si>
  <si>
    <t>TDCP</t>
  </si>
  <si>
    <t>Trioctyl phosphate</t>
  </si>
  <si>
    <t>TEHP</t>
  </si>
  <si>
    <t>Phthalic acid, bis-methyl ester</t>
  </si>
  <si>
    <t>PAEs</t>
  </si>
  <si>
    <t>DMP</t>
  </si>
  <si>
    <t>Diisobutyl Phthalate</t>
  </si>
  <si>
    <t>DIBP</t>
  </si>
  <si>
    <t>dibutyl phthalate</t>
  </si>
  <si>
    <t>DnBP</t>
  </si>
  <si>
    <t>Phthalic acid, benzylbutyl ester</t>
  </si>
  <si>
    <t>BBP</t>
  </si>
  <si>
    <t>Phthalic acid, bis-n-octyl ester</t>
  </si>
  <si>
    <t>DNOP</t>
  </si>
  <si>
    <t>Phthalic acid, bis-methylglycol ester</t>
  </si>
  <si>
    <t>DMEP</t>
  </si>
  <si>
    <t>Carbendazim</t>
  </si>
  <si>
    <t>Pesticide</t>
  </si>
  <si>
    <t>MBC</t>
  </si>
  <si>
    <t>Dinotefuran</t>
  </si>
  <si>
    <t>DNT</t>
  </si>
  <si>
    <t>Imidacloprid</t>
  </si>
  <si>
    <t>IMI</t>
  </si>
  <si>
    <t>Tebuconazole</t>
  </si>
  <si>
    <t>TEB</t>
  </si>
  <si>
    <t>Isofenphos-methyl</t>
  </si>
  <si>
    <t>IFM</t>
  </si>
  <si>
    <t>Boscalid</t>
  </si>
  <si>
    <t>BOS</t>
  </si>
  <si>
    <t>Chlorpyrifos</t>
  </si>
  <si>
    <t>CPF</t>
  </si>
  <si>
    <t>Fipronil</t>
  </si>
  <si>
    <t>FPN</t>
  </si>
  <si>
    <t>Heptafluorobutyric acid</t>
  </si>
  <si>
    <t>PFAS</t>
  </si>
  <si>
    <t>PFBA</t>
  </si>
  <si>
    <t>Perfluoropentanoic acid</t>
  </si>
  <si>
    <t>PFPeA</t>
  </si>
  <si>
    <t>Perfluorohexanoic acid</t>
  </si>
  <si>
    <t>PFHxA</t>
  </si>
  <si>
    <t>Sodium perfluoro nonyloxy benzenesulfonate</t>
  </si>
  <si>
    <t>OBS</t>
  </si>
  <si>
    <t>Para-Aminobenzoic Acid</t>
  </si>
  <si>
    <t>UVFs</t>
  </si>
  <si>
    <t>PABA</t>
  </si>
  <si>
    <t>Ethyl 4-aminobenzoate</t>
  </si>
  <si>
    <t>Et-PABA</t>
  </si>
  <si>
    <t>Phenylbenzimidazole sulfonic acid</t>
  </si>
  <si>
    <t>PBSA</t>
  </si>
  <si>
    <t>Sulisobenzone</t>
  </si>
  <si>
    <t>BP4</t>
  </si>
  <si>
    <t>R-EB1</t>
    <phoneticPr fontId="1" type="noConversion"/>
  </si>
  <si>
    <t>L-EB1</t>
    <phoneticPr fontId="1" type="noConversion"/>
  </si>
  <si>
    <t>Bisphenol F</t>
  </si>
  <si>
    <t>BPF</t>
  </si>
  <si>
    <t>CAP</t>
  </si>
  <si>
    <t>Hexaconazole</t>
  </si>
  <si>
    <t>HEX</t>
  </si>
  <si>
    <t>Florfenicol</t>
  </si>
  <si>
    <t>FF</t>
  </si>
  <si>
    <t>Trimethyl phosphate</t>
  </si>
  <si>
    <t>TMP</t>
  </si>
  <si>
    <t>Triazophos</t>
  </si>
  <si>
    <t>TRZ</t>
  </si>
  <si>
    <t>Flusilazole</t>
  </si>
  <si>
    <t>FLU</t>
  </si>
  <si>
    <t>Bupirimate</t>
  </si>
  <si>
    <t>PPF</t>
  </si>
  <si>
    <t>Estrone</t>
  </si>
  <si>
    <t>E1</t>
  </si>
  <si>
    <t>Triisopropyl phosphate</t>
  </si>
  <si>
    <t>TIPP</t>
  </si>
  <si>
    <t>Diphenyl phosphate</t>
  </si>
  <si>
    <t>DPHP</t>
  </si>
  <si>
    <t>Bisphenol AF</t>
  </si>
  <si>
    <t>BPAF</t>
  </si>
  <si>
    <t>Tributyl phosphate</t>
  </si>
  <si>
    <t>TBP</t>
  </si>
  <si>
    <t>Salicylic Acid</t>
  </si>
  <si>
    <t>SA</t>
  </si>
  <si>
    <t>Methylparaben</t>
  </si>
  <si>
    <t>MeP</t>
  </si>
  <si>
    <t>Tripentyl phosphate</t>
  </si>
  <si>
    <t>TPeP</t>
  </si>
  <si>
    <t>Ethylparaben</t>
  </si>
  <si>
    <t>EtP</t>
  </si>
  <si>
    <t>Propylparaben</t>
  </si>
  <si>
    <t>PrP</t>
  </si>
  <si>
    <t>Triphenyl phosphate</t>
  </si>
  <si>
    <t>Diniconazole</t>
  </si>
  <si>
    <t>UCZ</t>
  </si>
  <si>
    <t>Diphenyl p-tolyl phosphate</t>
  </si>
  <si>
    <t>CDPP</t>
  </si>
  <si>
    <t>Benalaxyl</t>
  </si>
  <si>
    <t>BNL</t>
  </si>
  <si>
    <t>Tricresyl phosphate</t>
  </si>
  <si>
    <t>TCrP</t>
  </si>
  <si>
    <t>Epoxiconazole</t>
  </si>
  <si>
    <t>EPX</t>
  </si>
  <si>
    <t>Ibuprofen</t>
  </si>
  <si>
    <t>IBP</t>
  </si>
  <si>
    <t>Tributoxyethyl phosphate</t>
  </si>
  <si>
    <t>TBEP</t>
  </si>
  <si>
    <t>Iprodione</t>
  </si>
  <si>
    <t>IPR</t>
  </si>
  <si>
    <t>PMT</t>
  </si>
  <si>
    <t>Heptylparaben</t>
  </si>
  <si>
    <t>HeP</t>
  </si>
  <si>
    <t>Phthalic acid, bis-ethyl ester</t>
  </si>
  <si>
    <t>DEP</t>
  </si>
  <si>
    <t>Octylparaben</t>
  </si>
  <si>
    <t>OP</t>
  </si>
  <si>
    <t>Fenbuconazole</t>
  </si>
  <si>
    <t>FPX</t>
  </si>
  <si>
    <t>Bitertanol</t>
  </si>
  <si>
    <t>BIT</t>
  </si>
  <si>
    <t>Triclocarban</t>
  </si>
  <si>
    <t>TCC</t>
  </si>
  <si>
    <t>Phthalic acid, bis-cyclohexyl ester</t>
  </si>
  <si>
    <t>DCHP</t>
  </si>
  <si>
    <t>Propiconazole</t>
  </si>
  <si>
    <t>PRP</t>
  </si>
  <si>
    <t>Phthalic acid,bis-butoxyethyl ester</t>
  </si>
  <si>
    <t>DBEP</t>
  </si>
  <si>
    <t>Phthalic acid, bis-2-ethylhexyl ester</t>
  </si>
  <si>
    <t>DEHP</t>
  </si>
  <si>
    <t>Metronidazole</t>
  </si>
  <si>
    <t>MNZ</t>
  </si>
  <si>
    <t>Antipyrine</t>
  </si>
  <si>
    <t>ANTP</t>
  </si>
  <si>
    <t>Carbamazepine</t>
  </si>
  <si>
    <t>CBZ</t>
  </si>
  <si>
    <t>Diallyl phthalate</t>
  </si>
  <si>
    <t>DAP</t>
  </si>
  <si>
    <t>Tinidazole</t>
  </si>
  <si>
    <t>TNZ</t>
  </si>
  <si>
    <t>Etoxazole</t>
  </si>
  <si>
    <t>ETX</t>
  </si>
  <si>
    <t>Ketoprofen</t>
  </si>
  <si>
    <t>KTP</t>
  </si>
  <si>
    <t>Pyridaben</t>
  </si>
  <si>
    <t>Pyrimethanil</t>
  </si>
  <si>
    <t>PMA</t>
  </si>
  <si>
    <t>Picoxystrobin</t>
  </si>
  <si>
    <t>FLX</t>
  </si>
  <si>
    <t>Methoxyfenozide</t>
  </si>
  <si>
    <t>MFZ</t>
  </si>
  <si>
    <t>Thiabendazole</t>
  </si>
  <si>
    <t>TBZ</t>
  </si>
  <si>
    <t>Tetraconazole</t>
  </si>
  <si>
    <t>TFB</t>
  </si>
  <si>
    <t>Flumorph</t>
  </si>
  <si>
    <t>FLM</t>
  </si>
  <si>
    <t>Fenobucarb</t>
  </si>
  <si>
    <t>BDC</t>
  </si>
  <si>
    <t>Indomethacin</t>
  </si>
  <si>
    <t>IND</t>
  </si>
  <si>
    <t>TMX</t>
  </si>
  <si>
    <t>prochloraz</t>
  </si>
  <si>
    <t>PRZ</t>
  </si>
  <si>
    <t>Fluxapyroxad</t>
  </si>
  <si>
    <t>Arbidol</t>
  </si>
  <si>
    <t>UMF</t>
  </si>
  <si>
    <t>Carbofuran</t>
  </si>
  <si>
    <t>CBF</t>
  </si>
  <si>
    <t>Fluopicolide</t>
  </si>
  <si>
    <t>FPM</t>
  </si>
  <si>
    <t>Acetamiprid</t>
  </si>
  <si>
    <t>ACE</t>
  </si>
  <si>
    <t>Pyraclostrobin</t>
  </si>
  <si>
    <t>PYR</t>
  </si>
  <si>
    <t>Dimethomorph</t>
  </si>
  <si>
    <t>DMM</t>
  </si>
  <si>
    <t>Androstenedione</t>
  </si>
  <si>
    <t>ASD</t>
  </si>
  <si>
    <t>Fluopyram</t>
  </si>
  <si>
    <t>Azoxystrobin</t>
  </si>
  <si>
    <t>AZX</t>
  </si>
  <si>
    <t>Ametryn</t>
  </si>
  <si>
    <t>ATR</t>
  </si>
  <si>
    <t>Difenoconazole</t>
  </si>
  <si>
    <t>DFC</t>
  </si>
  <si>
    <t>Dimethoate</t>
  </si>
  <si>
    <t>DMT</t>
  </si>
  <si>
    <t>Progesterone</t>
  </si>
  <si>
    <t>P4</t>
  </si>
  <si>
    <t>Fipronil sulfide</t>
  </si>
  <si>
    <t>Prometryn</t>
  </si>
  <si>
    <t>Fenpyroximate</t>
  </si>
  <si>
    <t>FPZ</t>
  </si>
  <si>
    <t>Fipronil sulfone</t>
  </si>
  <si>
    <t>FPN-SO</t>
  </si>
  <si>
    <t>Forchlorfenuron</t>
  </si>
  <si>
    <t>FCF</t>
  </si>
  <si>
    <t>Cyantraniliprole</t>
  </si>
  <si>
    <t>CTN</t>
  </si>
  <si>
    <t>Clothianidin</t>
  </si>
  <si>
    <t>Chloantraniliprole</t>
  </si>
  <si>
    <t>Phosfolan</t>
  </si>
  <si>
    <t>PHT</t>
  </si>
  <si>
    <t>Sulfapyridine</t>
  </si>
  <si>
    <t>SPY</t>
  </si>
  <si>
    <t>Sulfadiazine</t>
  </si>
  <si>
    <t>SDZ</t>
  </si>
  <si>
    <t>Emamectin benzoate</t>
  </si>
  <si>
    <t>EMB</t>
  </si>
  <si>
    <t>Phorate sulfoxide</t>
  </si>
  <si>
    <t>TBS</t>
  </si>
  <si>
    <t>Sulfamethazine</t>
  </si>
  <si>
    <t>SMR</t>
  </si>
  <si>
    <t>Oxadixyl</t>
  </si>
  <si>
    <t>MTX</t>
  </si>
  <si>
    <t>Metalaxyl</t>
  </si>
  <si>
    <t>MEF</t>
  </si>
  <si>
    <t>Ammonium perfluoro(2-methyl-3-oxahexanoate)</t>
  </si>
  <si>
    <t>GENX</t>
  </si>
  <si>
    <t>Sulfameter</t>
  </si>
  <si>
    <t>SMP</t>
  </si>
  <si>
    <t>Pendimethalin</t>
  </si>
  <si>
    <t>PDM</t>
  </si>
  <si>
    <t>Perfluorobutanesulfonic acid</t>
  </si>
  <si>
    <t>PFBuS</t>
  </si>
  <si>
    <t>Trimethoprim</t>
  </si>
  <si>
    <t>Procymidone</t>
  </si>
  <si>
    <t>PRC</t>
  </si>
  <si>
    <t>HFPO-DA</t>
  </si>
  <si>
    <t>Metolachlor</t>
  </si>
  <si>
    <t>MTL</t>
  </si>
  <si>
    <t>Perfluoroheptanoic acid</t>
  </si>
  <si>
    <t>PFHpA</t>
  </si>
  <si>
    <t>Perfluorohexanesulfonic acid</t>
  </si>
  <si>
    <t>PFHxS</t>
  </si>
  <si>
    <t>Myclobutanil</t>
  </si>
  <si>
    <t>MYC</t>
  </si>
  <si>
    <t>Perfluorooctanoic acid</t>
  </si>
  <si>
    <t>PFOA</t>
  </si>
  <si>
    <t>1H,1H, 2H, 2H-Perfluorooctane sulfonic acid</t>
  </si>
  <si>
    <t>6:2 FTS</t>
  </si>
  <si>
    <t>Isoprothiolane</t>
  </si>
  <si>
    <t>TCZ</t>
  </si>
  <si>
    <t>Perfluorononanoic acid</t>
  </si>
  <si>
    <t>PFNA</t>
  </si>
  <si>
    <t>Thiamethoxam</t>
  </si>
  <si>
    <t>Perfluorooctane sulfonic acid</t>
  </si>
  <si>
    <t>PFOS</t>
  </si>
  <si>
    <t>Perfluorodecanoic acid</t>
  </si>
  <si>
    <t>PFDA</t>
  </si>
  <si>
    <t>Triadimefon</t>
  </si>
  <si>
    <t>TDF</t>
  </si>
  <si>
    <t>Paclobutrazol</t>
  </si>
  <si>
    <t>PBZ</t>
  </si>
  <si>
    <t>Perfluoroundecanoic acid</t>
  </si>
  <si>
    <t>PFUnDA</t>
  </si>
  <si>
    <t>Triadimenol</t>
  </si>
  <si>
    <t>Perfluorododecanoic acid</t>
  </si>
  <si>
    <t>PFDoDA</t>
  </si>
  <si>
    <t>Perfluorotridecanoic acid</t>
  </si>
  <si>
    <t>PFTriDA</t>
  </si>
  <si>
    <t>Perfluorotetradecanoic acid</t>
  </si>
  <si>
    <t>PFTDA</t>
  </si>
  <si>
    <t>Lincomycin</t>
  </si>
  <si>
    <t>LIN</t>
  </si>
  <si>
    <t>Flutriafol</t>
  </si>
  <si>
    <t>FBC</t>
  </si>
  <si>
    <t>2-Hydroxy-4-methoxybenzophenone</t>
  </si>
  <si>
    <t>BP3</t>
  </si>
  <si>
    <t>Doxycycline</t>
  </si>
  <si>
    <t>DOX</t>
  </si>
  <si>
    <t>Tetracycline</t>
  </si>
  <si>
    <t>TET</t>
  </si>
  <si>
    <t>Homosalate</t>
  </si>
  <si>
    <t>HMS</t>
  </si>
  <si>
    <t>Oxytetracycline</t>
  </si>
  <si>
    <t>OTC</t>
  </si>
  <si>
    <t>Fenamiphos</t>
  </si>
  <si>
    <t>PNP</t>
  </si>
  <si>
    <t>Ketoconazole</t>
  </si>
  <si>
    <t>KTZ</t>
  </si>
  <si>
    <t>Diazinon</t>
  </si>
  <si>
    <t>DIA</t>
  </si>
  <si>
    <t>Octyl methoxycinnamate</t>
  </si>
  <si>
    <t>EHMC</t>
  </si>
  <si>
    <t>AnhydroErythromycin</t>
  </si>
  <si>
    <t>EES</t>
  </si>
  <si>
    <t>Buprofezin</t>
  </si>
  <si>
    <t>Butyl methoxydibenzoylmethane</t>
  </si>
  <si>
    <t>BM-DBM</t>
  </si>
  <si>
    <t>Erythromycin</t>
  </si>
  <si>
    <t>ERY</t>
  </si>
  <si>
    <t>Pirimiphos-methyl</t>
  </si>
  <si>
    <t>PDP</t>
  </si>
  <si>
    <t>Ethylhexyl salicylate</t>
  </si>
  <si>
    <t>EHS</t>
  </si>
  <si>
    <t>Clarithromycin</t>
  </si>
  <si>
    <t>CLR</t>
  </si>
  <si>
    <t>Octocrylene</t>
  </si>
  <si>
    <t>OC</t>
  </si>
  <si>
    <t>Azithromycin</t>
  </si>
  <si>
    <t>AZM</t>
  </si>
  <si>
    <t>Diflubenzuron</t>
  </si>
  <si>
    <t>CFZ</t>
  </si>
  <si>
    <t>Tylosin</t>
  </si>
  <si>
    <t>TYL</t>
  </si>
  <si>
    <t>单位ng/L</t>
  </si>
  <si>
    <t>缩写</t>
  </si>
  <si>
    <t>DTX1#</t>
  </si>
  <si>
    <t>DTX2</t>
  </si>
  <si>
    <t>DTX3</t>
  </si>
  <si>
    <t>DTX4</t>
  </si>
  <si>
    <t>DTX5</t>
  </si>
  <si>
    <t>HYH1#</t>
  </si>
  <si>
    <t>HYH2</t>
  </si>
  <si>
    <t>HYH3</t>
  </si>
  <si>
    <t>HYH4</t>
  </si>
  <si>
    <t>双酚 F</t>
  </si>
  <si>
    <t>双酚 A</t>
  </si>
  <si>
    <t>雌酚酮</t>
  </si>
  <si>
    <t>双酚 AF</t>
  </si>
  <si>
    <t>水杨酸</t>
  </si>
  <si>
    <t>尼泊金甲酯</t>
  </si>
  <si>
    <t>尼泊金乙酯</t>
  </si>
  <si>
    <t>尼泊金丙酯</t>
  </si>
  <si>
    <t>布洛芬</t>
  </si>
  <si>
    <t>尼泊金庚酯</t>
  </si>
  <si>
    <t>尼泊金正辛酯</t>
  </si>
  <si>
    <t>双氯芬酸</t>
  </si>
  <si>
    <t>三氯卡班</t>
  </si>
  <si>
    <t>地美硝唑</t>
  </si>
  <si>
    <t>甲硝唑</t>
  </si>
  <si>
    <t>安替比林</t>
  </si>
  <si>
    <t>卡马西平</t>
  </si>
  <si>
    <t>替硝唑</t>
  </si>
  <si>
    <t>酮洛芬</t>
  </si>
  <si>
    <t>氟康唑</t>
  </si>
  <si>
    <t>奥司他韦</t>
  </si>
  <si>
    <t>吲哚美辛</t>
  </si>
  <si>
    <t>阿比朵尔</t>
  </si>
  <si>
    <t>雄烯二酮</t>
  </si>
  <si>
    <t>雄甾酮</t>
  </si>
  <si>
    <t>黄体酮</t>
  </si>
  <si>
    <t>磺胺吡啶</t>
  </si>
  <si>
    <t>磺胺嘧啶</t>
  </si>
  <si>
    <t>磺胺甲恶唑</t>
  </si>
  <si>
    <t>氟甲喹</t>
  </si>
  <si>
    <t>磺胺二甲嘧啶</t>
  </si>
  <si>
    <t>磺胺对甲氧嘧啶</t>
  </si>
  <si>
    <t>甲氧苄啶</t>
  </si>
  <si>
    <t>氧氟沙星</t>
  </si>
  <si>
    <t>林可霉素</t>
  </si>
  <si>
    <t>多西环素</t>
  </si>
  <si>
    <t>四环素</t>
  </si>
  <si>
    <t>土霉素</t>
  </si>
  <si>
    <t>酮康唑</t>
  </si>
  <si>
    <t>脱水红霉素</t>
  </si>
  <si>
    <t>红霉素</t>
  </si>
  <si>
    <t>克拉霉素</t>
  </si>
  <si>
    <t>阿奇霉素</t>
  </si>
  <si>
    <t>罗红霉素</t>
  </si>
  <si>
    <t>泰乐菌素</t>
  </si>
  <si>
    <t>氟苯尼考</t>
  </si>
  <si>
    <t>磷酸三甲酯</t>
  </si>
  <si>
    <t>磷酸三乙酯</t>
  </si>
  <si>
    <t>磷酸二丁酯</t>
  </si>
  <si>
    <t>磷酸三异丙酯</t>
  </si>
  <si>
    <t>磷酸二苯酯</t>
  </si>
  <si>
    <t>磷酸三异丁酯</t>
  </si>
  <si>
    <t>磷酸三丁酯</t>
  </si>
  <si>
    <t>三苯基氧化膦</t>
  </si>
  <si>
    <t>三（2-氯乙基）磷酸酯</t>
  </si>
  <si>
    <t>磷酸三戊酯</t>
  </si>
  <si>
    <t>磷酸三(2-氯丙基)酯</t>
  </si>
  <si>
    <t>磷酸三苯酯</t>
  </si>
  <si>
    <t xml:space="preserve"> TPhP</t>
  </si>
  <si>
    <t>磷酸甲苯二苯酯</t>
  </si>
  <si>
    <t>磷酸三甲苯酯</t>
  </si>
  <si>
    <t>磷酸三(丁氧基乙基)酯</t>
  </si>
  <si>
    <t>磷酸三(1,3-二氯-2-丙基)酯</t>
  </si>
  <si>
    <t>磷酸三辛酯</t>
  </si>
  <si>
    <t>邻苯二甲酸二甲酯</t>
  </si>
  <si>
    <t>邻苯二甲酸二乙酯</t>
  </si>
  <si>
    <t>邻苯二甲酸二异丁酯</t>
  </si>
  <si>
    <t>邻苯二甲酸二丁酯</t>
  </si>
  <si>
    <t>邻苯二甲酸丁苄酯</t>
  </si>
  <si>
    <t>邻苯二甲酸二环己酯</t>
  </si>
  <si>
    <t>邻苯二甲酸二丁氧基乙基酯</t>
  </si>
  <si>
    <t>邻苯二甲酸二正辛酯</t>
  </si>
  <si>
    <t>邻苯二甲酸二-2-乙基己酯</t>
  </si>
  <si>
    <t>邻苯二甲酸二甲基乙二醇酯</t>
  </si>
  <si>
    <t>邻苯二甲酸二烯丙酯</t>
  </si>
  <si>
    <t>多菌灵</t>
  </si>
  <si>
    <t>嘧霉胺</t>
  </si>
  <si>
    <t>噻苯咪唑</t>
  </si>
  <si>
    <t>呋虫胺</t>
  </si>
  <si>
    <t>仲丁威</t>
  </si>
  <si>
    <t>克百威</t>
  </si>
  <si>
    <t>啶虫脒</t>
  </si>
  <si>
    <t>莠灭净</t>
  </si>
  <si>
    <t>乐果</t>
  </si>
  <si>
    <t>扑草净</t>
  </si>
  <si>
    <t>氯吡脲</t>
  </si>
  <si>
    <t>噻虫胺</t>
  </si>
  <si>
    <t>硫环磷</t>
  </si>
  <si>
    <t>吡虫啉</t>
  </si>
  <si>
    <t>甲拌磷亚砜（37）</t>
  </si>
  <si>
    <t>恶霜灵</t>
  </si>
  <si>
    <t>甲霜灵</t>
  </si>
  <si>
    <t>二甲戊乐灵</t>
  </si>
  <si>
    <t>腐霉利</t>
  </si>
  <si>
    <t>异丙甲草胺</t>
  </si>
  <si>
    <t>腈菌唑</t>
  </si>
  <si>
    <t>稻瘟灵</t>
  </si>
  <si>
    <t>噻虫嗪</t>
  </si>
  <si>
    <t>三唑酮</t>
  </si>
  <si>
    <t>多效唑</t>
  </si>
  <si>
    <t>三唑醇</t>
  </si>
  <si>
    <t>粉唑醇</t>
  </si>
  <si>
    <t>苯线磷</t>
  </si>
  <si>
    <t>二嗪农</t>
  </si>
  <si>
    <t>噻嗪酮</t>
  </si>
  <si>
    <t>甲基嘧啶磷</t>
  </si>
  <si>
    <t>戊唑醇</t>
  </si>
  <si>
    <t>除虫脲</t>
  </si>
  <si>
    <t>己唑醇</t>
  </si>
  <si>
    <t>三唑磷</t>
  </si>
  <si>
    <t>氟硅唑</t>
  </si>
  <si>
    <t>乙嘧酚磺酸酯</t>
  </si>
  <si>
    <t>烯唑醇</t>
  </si>
  <si>
    <t>苯霜灵</t>
  </si>
  <si>
    <t>环氧菌唑</t>
  </si>
  <si>
    <t>异菌脲</t>
  </si>
  <si>
    <t xml:space="preserve"> 甲基异柳磷</t>
  </si>
  <si>
    <t>腈苯唑</t>
  </si>
  <si>
    <t>联苯三唑醇</t>
  </si>
  <si>
    <t>丙环唑</t>
  </si>
  <si>
    <t>啶酰菌胺</t>
  </si>
  <si>
    <t>毒死蜱</t>
  </si>
  <si>
    <t>乙螨唑</t>
  </si>
  <si>
    <t>哒螨灵</t>
  </si>
  <si>
    <t>啶氧菌酯</t>
  </si>
  <si>
    <t>甲氧虫酰肼</t>
  </si>
  <si>
    <t>四氟醚唑</t>
  </si>
  <si>
    <t>氟吗啉</t>
  </si>
  <si>
    <t>咪鲜胺</t>
  </si>
  <si>
    <t>氟唑菌酰胺</t>
  </si>
  <si>
    <t>氟啶酰菌胺</t>
  </si>
  <si>
    <t>吡唑醚菌酯</t>
  </si>
  <si>
    <t>烯酰吗啉</t>
  </si>
  <si>
    <t>氟吡草胺</t>
  </si>
  <si>
    <t>嘧菌酯</t>
  </si>
  <si>
    <t>苯醚甲环唑</t>
  </si>
  <si>
    <t>氟虫腈</t>
  </si>
  <si>
    <t>唑螨酯</t>
  </si>
  <si>
    <t>氟虫腈（144）</t>
  </si>
  <si>
    <t>氟虫腈砜（144）</t>
  </si>
  <si>
    <t>溴氰虫酰胺</t>
  </si>
  <si>
    <t>氯虫苯甲酰胺</t>
  </si>
  <si>
    <t>甲氨基阿维菌素苯甲酸盐</t>
  </si>
  <si>
    <t>全氟丁酸</t>
  </si>
  <si>
    <t>全氟戊酸</t>
  </si>
  <si>
    <t>全氟(2-甲基-3-氧杂己酸)铵</t>
  </si>
  <si>
    <t>全氟丁烷磺酸</t>
  </si>
  <si>
    <t>全氟己酸</t>
  </si>
  <si>
    <t>全氟 2-甲基-3-氧杂己酸</t>
  </si>
  <si>
    <t xml:space="preserve"> Perfluoro-2-propoxypropanoic acid</t>
  </si>
  <si>
    <t>全氟庚酸</t>
  </si>
  <si>
    <t>全氟己烷磺酸</t>
  </si>
  <si>
    <t>全氟辛酸</t>
  </si>
  <si>
    <t>全氟己基乙基磺酸</t>
  </si>
  <si>
    <t>全氟壬酸</t>
  </si>
  <si>
    <t>全氟辛烷磺酸</t>
  </si>
  <si>
    <t>全氟癸酸</t>
  </si>
  <si>
    <t>全氟十一酸</t>
  </si>
  <si>
    <t>全氟壬烯氧基苯磺酸钠</t>
  </si>
  <si>
    <t>全氟十二酸</t>
  </si>
  <si>
    <t>全氟十三酸</t>
  </si>
  <si>
    <t>全氟十四酸</t>
  </si>
  <si>
    <t>对氨基苯甲酸</t>
  </si>
  <si>
    <t>4-氨基苯甲酸乙酯</t>
  </si>
  <si>
    <t>2-羟基-4-甲氧基二苯甲酮</t>
  </si>
  <si>
    <t>3,3,5-三甲基环己烷水杨酸酯</t>
  </si>
  <si>
    <t>2-苯基苯并咪唑-5-磺酸</t>
  </si>
  <si>
    <t>甲氧基肉桂酸乙基己酯</t>
  </si>
  <si>
    <t>丁基甲氧基二苯甲酰基甲烷</t>
  </si>
  <si>
    <t>水杨酸乙基己酯</t>
  </si>
  <si>
    <t>2-氰基-3,3-二苯基丙烯酸异辛酯</t>
  </si>
  <si>
    <t>2-羟基-4-甲氧基-5-磺酸二苯甲酮</t>
  </si>
  <si>
    <t>R-EB1</t>
  </si>
  <si>
    <t>L-EB1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</si>
</sst>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0A18-CCB3-F44D-8A36-7EBC46CDE2CC}">
  <dimension ref="A1:J10"/>
  <sheetViews>
    <sheetView tabSelected="1" topLeftCell="F1" zoomScale="241" workbookViewId="0">
      <selection activeCell="K1" sqref="K1:CR1048576"/>
    </sheetView>
  </sheetViews>
  <sheetFormatPr baseColWidth="10" defaultRowHeight="16"/>
  <sheetData>
    <row r="1" spans="1:10">
      <c r="B1" t="s">
        <v>531</v>
      </c>
      <c r="C1" t="s">
        <v>0</v>
      </c>
      <c r="D1" t="s">
        <v>3</v>
      </c>
      <c r="E1" t="s">
        <v>4</v>
      </c>
      <c r="F1" t="s">
        <v>2</v>
      </c>
      <c r="G1" t="s">
        <v>532</v>
      </c>
      <c r="H1" t="s">
        <v>5</v>
      </c>
      <c r="I1" t="s">
        <v>6</v>
      </c>
      <c r="J1" t="s">
        <v>1</v>
      </c>
    </row>
    <row r="2" spans="1:10">
      <c r="A2" t="s">
        <v>23</v>
      </c>
      <c r="B2">
        <v>4.3745338072045987</v>
      </c>
      <c r="C2">
        <v>3.5101575183186342</v>
      </c>
      <c r="D2">
        <v>4.014742661576939</v>
      </c>
      <c r="E2">
        <v>4.5193278048352425</v>
      </c>
      <c r="F2">
        <v>4.8440173752797167</v>
      </c>
      <c r="G2">
        <v>4.8182906090571267</v>
      </c>
      <c r="H2">
        <v>4.5380109592492293</v>
      </c>
      <c r="I2">
        <v>4.0152421742142712</v>
      </c>
      <c r="J2">
        <v>3.6719783334383069</v>
      </c>
    </row>
    <row r="3" spans="1:10">
      <c r="A3" t="s">
        <v>8</v>
      </c>
      <c r="B3">
        <v>0.21499714799701636</v>
      </c>
      <c r="C3">
        <v>1.3557983414505728</v>
      </c>
      <c r="D3">
        <v>1.4084507042253522</v>
      </c>
      <c r="E3">
        <v>1.5620200956517925</v>
      </c>
      <c r="F3">
        <v>4.4096353823877843</v>
      </c>
      <c r="G3">
        <v>0.81249606348806447</v>
      </c>
      <c r="H3">
        <v>0.64243874787428346</v>
      </c>
      <c r="I3">
        <v>0.44088933677646908</v>
      </c>
      <c r="J3">
        <v>0.33696542167915849</v>
      </c>
    </row>
    <row r="4" spans="1:10">
      <c r="A4" t="s">
        <v>20</v>
      </c>
      <c r="B4">
        <v>3.9357641174147693</v>
      </c>
      <c r="C4">
        <v>3.0450616471414151</v>
      </c>
      <c r="D4">
        <v>4.6728971962616832</v>
      </c>
      <c r="E4">
        <v>6.7000131630906932</v>
      </c>
      <c r="F4">
        <v>6.9501118862708973</v>
      </c>
      <c r="G4">
        <v>1.3793537822006674</v>
      </c>
      <c r="H4">
        <v>6.6133400516470348E-2</v>
      </c>
      <c r="I4">
        <v>3.4641305032436856E-2</v>
      </c>
      <c r="J4">
        <v>2.2044466838823454E-2</v>
      </c>
    </row>
    <row r="5" spans="1:10">
      <c r="A5" t="s">
        <v>32</v>
      </c>
      <c r="B5">
        <v>24.922118380062301</v>
      </c>
      <c r="C5">
        <v>10.710368127769735</v>
      </c>
      <c r="D5">
        <v>16.651309727524023</v>
      </c>
      <c r="E5">
        <v>15.010311087710059</v>
      </c>
      <c r="F5">
        <v>9.139572638322143</v>
      </c>
      <c r="G5">
        <v>16.693959816086164</v>
      </c>
      <c r="H5">
        <v>6.915664168293759</v>
      </c>
      <c r="I5">
        <v>7.5234616111356036</v>
      </c>
      <c r="J5">
        <v>8.493418152043839</v>
      </c>
    </row>
    <row r="6" spans="1:10">
      <c r="A6" t="s">
        <v>49</v>
      </c>
      <c r="B6">
        <v>27.388004036681146</v>
      </c>
      <c r="C6">
        <v>17.928129524812427</v>
      </c>
      <c r="D6">
        <v>19.959633188539343</v>
      </c>
      <c r="E6">
        <v>15.887850467289722</v>
      </c>
      <c r="F6">
        <v>12.895441182923086</v>
      </c>
      <c r="G6">
        <v>16.621527996472885</v>
      </c>
      <c r="H6">
        <v>19.011778043711029</v>
      </c>
      <c r="I6">
        <v>18.734647603451535</v>
      </c>
      <c r="J6">
        <v>22.466460918309505</v>
      </c>
    </row>
    <row r="7" spans="1:10">
      <c r="A7" t="s">
        <v>62</v>
      </c>
      <c r="B7">
        <v>16.216927734632097</v>
      </c>
      <c r="C7">
        <v>16.932122328989514</v>
      </c>
      <c r="D7">
        <v>13.619411171076301</v>
      </c>
      <c r="E7">
        <v>12.096880347505596</v>
      </c>
      <c r="F7">
        <v>8.2751963494361824</v>
      </c>
      <c r="G7">
        <v>22.192479687598418</v>
      </c>
      <c r="H7">
        <v>20.082509290168172</v>
      </c>
      <c r="I7">
        <v>21.288656547206671</v>
      </c>
      <c r="J7">
        <v>21.109151602947662</v>
      </c>
    </row>
    <row r="8" spans="1:10">
      <c r="A8" t="s">
        <v>79</v>
      </c>
      <c r="B8">
        <v>3.9533149050063625</v>
      </c>
      <c r="C8">
        <v>2.382519415558773</v>
      </c>
      <c r="D8">
        <v>3.1854679478741605</v>
      </c>
      <c r="E8">
        <v>8.7315168268176038</v>
      </c>
      <c r="F8">
        <v>2.0139528761353169</v>
      </c>
      <c r="G8">
        <v>8.4461800088177856</v>
      </c>
      <c r="H8">
        <v>7.8982175473956042</v>
      </c>
      <c r="I8">
        <v>9.3311078919191281</v>
      </c>
      <c r="J8">
        <v>5.5772501102223337</v>
      </c>
    </row>
    <row r="9" spans="1:10">
      <c r="A9" t="s">
        <v>11</v>
      </c>
      <c r="B9">
        <v>13.378087841691896</v>
      </c>
      <c r="C9">
        <v>7.783774296871572</v>
      </c>
      <c r="D9">
        <v>9.3457943925233664</v>
      </c>
      <c r="E9">
        <v>11.070159273397396</v>
      </c>
      <c r="F9">
        <v>5.3617656092317141</v>
      </c>
      <c r="G9">
        <v>20.816275114946148</v>
      </c>
      <c r="H9">
        <v>2.6232915538199912</v>
      </c>
      <c r="I9">
        <v>2.3902500472381432</v>
      </c>
      <c r="J9">
        <v>0.41884486993764558</v>
      </c>
    </row>
    <row r="10" spans="1:10">
      <c r="A10" t="s">
        <v>88</v>
      </c>
      <c r="B10">
        <v>5.6162520293098162</v>
      </c>
      <c r="C10">
        <v>4.0366811460664298</v>
      </c>
      <c r="D10">
        <v>4.4798385327541572</v>
      </c>
      <c r="E10">
        <v>4.5939186520995134</v>
      </c>
      <c r="F10">
        <v>9.1922250010969258</v>
      </c>
      <c r="G10">
        <v>8.2194369213327452</v>
      </c>
      <c r="H10">
        <v>0.74006424387478742</v>
      </c>
      <c r="I10">
        <v>0.74321345342319078</v>
      </c>
      <c r="J10">
        <v>0.76525792026201411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927B-2F1B-5642-AFC1-4C4402D851BF}">
  <dimension ref="A1:AL38"/>
  <sheetViews>
    <sheetView zoomScale="187" workbookViewId="0">
      <selection activeCell="A12" sqref="A12:J21"/>
    </sheetView>
  </sheetViews>
  <sheetFormatPr baseColWidth="10" defaultRowHeight="16"/>
  <cols>
    <col min="1" max="1" width="18.5" customWidth="1"/>
  </cols>
  <sheetData>
    <row r="1" spans="1:10">
      <c r="B1" t="s">
        <v>96</v>
      </c>
      <c r="C1" t="s">
        <v>0</v>
      </c>
      <c r="D1" t="s">
        <v>3</v>
      </c>
      <c r="E1" t="s">
        <v>4</v>
      </c>
      <c r="F1" t="s">
        <v>2</v>
      </c>
      <c r="G1" t="s">
        <v>97</v>
      </c>
      <c r="H1" t="s">
        <v>5</v>
      </c>
      <c r="I1" t="s">
        <v>6</v>
      </c>
      <c r="J1" t="s">
        <v>1</v>
      </c>
    </row>
    <row r="2" spans="1:10">
      <c r="A2" t="s">
        <v>23</v>
      </c>
      <c r="B2">
        <v>99.7</v>
      </c>
      <c r="C2">
        <v>80</v>
      </c>
      <c r="D2">
        <v>91.5</v>
      </c>
      <c r="E2">
        <v>103</v>
      </c>
      <c r="F2">
        <v>110.40000000000002</v>
      </c>
      <c r="G2">
        <v>153</v>
      </c>
      <c r="H2">
        <v>144.10000000000002</v>
      </c>
      <c r="I2">
        <v>127.49999999999999</v>
      </c>
      <c r="J2">
        <v>116.6</v>
      </c>
    </row>
    <row r="3" spans="1:10">
      <c r="A3" t="s">
        <v>8</v>
      </c>
      <c r="B3">
        <v>4.8999999999999995</v>
      </c>
      <c r="C3">
        <v>30.900000000000002</v>
      </c>
      <c r="D3">
        <v>32.1</v>
      </c>
      <c r="E3">
        <v>35.6</v>
      </c>
      <c r="F3">
        <v>100.5</v>
      </c>
      <c r="G3">
        <v>25.8</v>
      </c>
      <c r="H3">
        <v>20.399999999999999</v>
      </c>
      <c r="I3">
        <v>14</v>
      </c>
      <c r="J3">
        <v>10.7</v>
      </c>
    </row>
    <row r="4" spans="1:10">
      <c r="A4" t="s">
        <v>20</v>
      </c>
      <c r="B4">
        <v>89.7</v>
      </c>
      <c r="C4">
        <v>69.399999999999991</v>
      </c>
      <c r="D4">
        <v>106.5</v>
      </c>
      <c r="E4">
        <v>152.69999999999999</v>
      </c>
      <c r="F4">
        <v>158.4</v>
      </c>
      <c r="G4">
        <v>43.8</v>
      </c>
      <c r="H4">
        <v>2.0999999999999996</v>
      </c>
      <c r="I4">
        <v>1.1000000000000001</v>
      </c>
      <c r="J4">
        <v>0.7</v>
      </c>
    </row>
    <row r="5" spans="1:10">
      <c r="A5" t="s">
        <v>32</v>
      </c>
      <c r="B5">
        <v>567.99999999999989</v>
      </c>
      <c r="C5">
        <v>244.1</v>
      </c>
      <c r="D5">
        <v>379.49999999999994</v>
      </c>
      <c r="E5">
        <v>342.09999999999997</v>
      </c>
      <c r="F5">
        <v>208.29999999999993</v>
      </c>
      <c r="G5">
        <v>530.10000000000014</v>
      </c>
      <c r="H5">
        <v>219.60000000000002</v>
      </c>
      <c r="I5">
        <v>238.89999999999998</v>
      </c>
      <c r="J5">
        <v>269.7000000000001</v>
      </c>
    </row>
    <row r="6" spans="1:10">
      <c r="A6" t="s">
        <v>49</v>
      </c>
      <c r="B6">
        <v>624.19999999999993</v>
      </c>
      <c r="C6">
        <v>408.6</v>
      </c>
      <c r="D6">
        <v>454.90000000000009</v>
      </c>
      <c r="E6">
        <v>362.1</v>
      </c>
      <c r="F6">
        <v>293.90000000000003</v>
      </c>
      <c r="G6">
        <v>527.79999999999995</v>
      </c>
      <c r="H6">
        <v>603.70000000000005</v>
      </c>
      <c r="I6">
        <v>594.90000000000009</v>
      </c>
      <c r="J6">
        <v>713.40000000000009</v>
      </c>
    </row>
    <row r="7" spans="1:10">
      <c r="A7" t="s">
        <v>62</v>
      </c>
      <c r="B7">
        <v>369.60000000000014</v>
      </c>
      <c r="C7">
        <v>385.9</v>
      </c>
      <c r="D7">
        <v>310.39999999999998</v>
      </c>
      <c r="E7">
        <v>275.70000000000005</v>
      </c>
      <c r="F7">
        <v>188.60000000000002</v>
      </c>
      <c r="G7">
        <v>704.70000000000016</v>
      </c>
      <c r="H7">
        <v>637.70000000000016</v>
      </c>
      <c r="I7">
        <v>676.00000000000068</v>
      </c>
      <c r="J7">
        <v>670.30000000000007</v>
      </c>
    </row>
    <row r="8" spans="1:10">
      <c r="A8" t="s">
        <v>79</v>
      </c>
      <c r="B8">
        <v>90.1</v>
      </c>
      <c r="C8">
        <v>54.3</v>
      </c>
      <c r="D8">
        <v>72.599999999999994</v>
      </c>
      <c r="E8">
        <v>199</v>
      </c>
      <c r="F8">
        <v>45.900000000000006</v>
      </c>
      <c r="G8">
        <v>268.2</v>
      </c>
      <c r="H8">
        <v>250.8</v>
      </c>
      <c r="I8">
        <v>296.3</v>
      </c>
      <c r="J8">
        <v>177.1</v>
      </c>
    </row>
    <row r="9" spans="1:10">
      <c r="A9" t="s">
        <v>11</v>
      </c>
      <c r="B9">
        <v>304.89999999999998</v>
      </c>
      <c r="C9">
        <v>177.39999999999998</v>
      </c>
      <c r="D9">
        <v>213</v>
      </c>
      <c r="E9">
        <v>252.3</v>
      </c>
      <c r="F9">
        <v>122.19999999999999</v>
      </c>
      <c r="G9">
        <v>661</v>
      </c>
      <c r="H9">
        <v>83.3</v>
      </c>
      <c r="I9">
        <v>75.900000000000006</v>
      </c>
      <c r="J9">
        <v>13.299999999999999</v>
      </c>
    </row>
    <row r="10" spans="1:10">
      <c r="A10" t="s">
        <v>88</v>
      </c>
      <c r="B10">
        <v>128</v>
      </c>
      <c r="C10">
        <v>92</v>
      </c>
      <c r="D10">
        <v>102.1</v>
      </c>
      <c r="E10">
        <v>104.70000000000002</v>
      </c>
      <c r="F10">
        <v>209.5</v>
      </c>
      <c r="G10">
        <v>261</v>
      </c>
      <c r="H10">
        <v>23.5</v>
      </c>
      <c r="I10">
        <v>23.6</v>
      </c>
      <c r="J10">
        <v>24.299999999999997</v>
      </c>
    </row>
    <row r="11" spans="1:10">
      <c r="B11">
        <f>SUM(B2:B10)</f>
        <v>2279.1</v>
      </c>
      <c r="G11">
        <f>SUM(G2:G10)</f>
        <v>3175.4</v>
      </c>
    </row>
    <row r="12" spans="1:10">
      <c r="B12" t="s">
        <v>96</v>
      </c>
      <c r="C12" t="s">
        <v>0</v>
      </c>
      <c r="D12" t="s">
        <v>3</v>
      </c>
      <c r="E12" t="s">
        <v>4</v>
      </c>
      <c r="F12" t="s">
        <v>2</v>
      </c>
      <c r="G12" t="s">
        <v>97</v>
      </c>
      <c r="H12" t="s">
        <v>5</v>
      </c>
      <c r="I12" t="s">
        <v>6</v>
      </c>
      <c r="J12" t="s">
        <v>1</v>
      </c>
    </row>
    <row r="13" spans="1:10">
      <c r="A13" t="s">
        <v>23</v>
      </c>
      <c r="B13">
        <f>B2/$B$11*100</f>
        <v>4.3745338072045987</v>
      </c>
      <c r="C13">
        <f t="shared" ref="C13:F13" si="0">C2/$B$11*100</f>
        <v>3.5101575183186342</v>
      </c>
      <c r="D13">
        <f t="shared" si="0"/>
        <v>4.014742661576939</v>
      </c>
      <c r="E13">
        <f t="shared" si="0"/>
        <v>4.5193278048352425</v>
      </c>
      <c r="F13">
        <f t="shared" si="0"/>
        <v>4.8440173752797167</v>
      </c>
      <c r="G13">
        <f>G2/$G$11*100</f>
        <v>4.8182906090571267</v>
      </c>
      <c r="H13">
        <f t="shared" ref="H13:J13" si="1">H2/$G$11*100</f>
        <v>4.5380109592492293</v>
      </c>
      <c r="I13">
        <f t="shared" si="1"/>
        <v>4.0152421742142712</v>
      </c>
      <c r="J13">
        <f t="shared" si="1"/>
        <v>3.6719783334383069</v>
      </c>
    </row>
    <row r="14" spans="1:10">
      <c r="A14" t="s">
        <v>8</v>
      </c>
      <c r="B14">
        <f t="shared" ref="B14:F21" si="2">B3/$B$11*100</f>
        <v>0.21499714799701636</v>
      </c>
      <c r="C14">
        <f t="shared" si="2"/>
        <v>1.3557983414505728</v>
      </c>
      <c r="D14">
        <f t="shared" si="2"/>
        <v>1.4084507042253522</v>
      </c>
      <c r="E14">
        <f t="shared" si="2"/>
        <v>1.5620200956517925</v>
      </c>
      <c r="F14">
        <f t="shared" si="2"/>
        <v>4.4096353823877843</v>
      </c>
      <c r="G14">
        <f t="shared" ref="G14:J21" si="3">G3/$G$11*100</f>
        <v>0.81249606348806447</v>
      </c>
      <c r="H14">
        <f t="shared" si="3"/>
        <v>0.64243874787428346</v>
      </c>
      <c r="I14">
        <f t="shared" si="3"/>
        <v>0.44088933677646908</v>
      </c>
      <c r="J14">
        <f t="shared" si="3"/>
        <v>0.33696542167915849</v>
      </c>
    </row>
    <row r="15" spans="1:10">
      <c r="A15" t="s">
        <v>20</v>
      </c>
      <c r="B15">
        <f t="shared" si="2"/>
        <v>3.9357641174147693</v>
      </c>
      <c r="C15">
        <f t="shared" si="2"/>
        <v>3.0450616471414151</v>
      </c>
      <c r="D15">
        <f t="shared" si="2"/>
        <v>4.6728971962616832</v>
      </c>
      <c r="E15">
        <f t="shared" si="2"/>
        <v>6.7000131630906932</v>
      </c>
      <c r="F15">
        <f t="shared" si="2"/>
        <v>6.9501118862708973</v>
      </c>
      <c r="G15">
        <f t="shared" si="3"/>
        <v>1.3793537822006674</v>
      </c>
      <c r="H15">
        <f t="shared" si="3"/>
        <v>6.6133400516470348E-2</v>
      </c>
      <c r="I15">
        <f t="shared" si="3"/>
        <v>3.4641305032436856E-2</v>
      </c>
      <c r="J15">
        <f t="shared" si="3"/>
        <v>2.2044466838823454E-2</v>
      </c>
    </row>
    <row r="16" spans="1:10">
      <c r="A16" t="s">
        <v>32</v>
      </c>
      <c r="B16">
        <f t="shared" si="2"/>
        <v>24.922118380062301</v>
      </c>
      <c r="C16">
        <f t="shared" si="2"/>
        <v>10.710368127769735</v>
      </c>
      <c r="D16">
        <f t="shared" si="2"/>
        <v>16.651309727524023</v>
      </c>
      <c r="E16">
        <f t="shared" si="2"/>
        <v>15.010311087710059</v>
      </c>
      <c r="F16">
        <f t="shared" si="2"/>
        <v>9.139572638322143</v>
      </c>
      <c r="G16">
        <f t="shared" si="3"/>
        <v>16.693959816086164</v>
      </c>
      <c r="H16">
        <f t="shared" si="3"/>
        <v>6.915664168293759</v>
      </c>
      <c r="I16">
        <f t="shared" si="3"/>
        <v>7.5234616111356036</v>
      </c>
      <c r="J16">
        <f t="shared" si="3"/>
        <v>8.493418152043839</v>
      </c>
    </row>
    <row r="17" spans="1:38">
      <c r="A17" t="s">
        <v>49</v>
      </c>
      <c r="B17">
        <f t="shared" si="2"/>
        <v>27.388004036681146</v>
      </c>
      <c r="C17">
        <f t="shared" si="2"/>
        <v>17.928129524812427</v>
      </c>
      <c r="D17">
        <f t="shared" si="2"/>
        <v>19.959633188539343</v>
      </c>
      <c r="E17">
        <f t="shared" si="2"/>
        <v>15.887850467289722</v>
      </c>
      <c r="F17">
        <f t="shared" si="2"/>
        <v>12.895441182923086</v>
      </c>
      <c r="G17">
        <f t="shared" si="3"/>
        <v>16.621527996472885</v>
      </c>
      <c r="H17">
        <f t="shared" si="3"/>
        <v>19.011778043711029</v>
      </c>
      <c r="I17">
        <f t="shared" si="3"/>
        <v>18.734647603451535</v>
      </c>
      <c r="J17">
        <f t="shared" si="3"/>
        <v>22.466460918309505</v>
      </c>
    </row>
    <row r="18" spans="1:38">
      <c r="A18" t="s">
        <v>62</v>
      </c>
      <c r="B18">
        <f t="shared" si="2"/>
        <v>16.216927734632097</v>
      </c>
      <c r="C18">
        <f t="shared" si="2"/>
        <v>16.932122328989514</v>
      </c>
      <c r="D18">
        <f t="shared" si="2"/>
        <v>13.619411171076301</v>
      </c>
      <c r="E18">
        <f t="shared" si="2"/>
        <v>12.096880347505596</v>
      </c>
      <c r="F18">
        <f t="shared" si="2"/>
        <v>8.2751963494361824</v>
      </c>
      <c r="G18">
        <f t="shared" si="3"/>
        <v>22.192479687598418</v>
      </c>
      <c r="H18">
        <f t="shared" si="3"/>
        <v>20.082509290168172</v>
      </c>
      <c r="I18">
        <f t="shared" si="3"/>
        <v>21.288656547206671</v>
      </c>
      <c r="J18">
        <f t="shared" si="3"/>
        <v>21.109151602947662</v>
      </c>
    </row>
    <row r="19" spans="1:38">
      <c r="A19" t="s">
        <v>79</v>
      </c>
      <c r="B19">
        <f t="shared" si="2"/>
        <v>3.9533149050063625</v>
      </c>
      <c r="C19">
        <f t="shared" si="2"/>
        <v>2.382519415558773</v>
      </c>
      <c r="D19">
        <f t="shared" si="2"/>
        <v>3.1854679478741605</v>
      </c>
      <c r="E19">
        <f t="shared" si="2"/>
        <v>8.7315168268176038</v>
      </c>
      <c r="F19">
        <f t="shared" si="2"/>
        <v>2.0139528761353169</v>
      </c>
      <c r="G19">
        <f t="shared" si="3"/>
        <v>8.4461800088177856</v>
      </c>
      <c r="H19">
        <f t="shared" si="3"/>
        <v>7.8982175473956042</v>
      </c>
      <c r="I19">
        <f t="shared" si="3"/>
        <v>9.3311078919191281</v>
      </c>
      <c r="J19">
        <f t="shared" si="3"/>
        <v>5.5772501102223337</v>
      </c>
    </row>
    <row r="20" spans="1:38">
      <c r="A20" t="s">
        <v>11</v>
      </c>
      <c r="B20">
        <f t="shared" si="2"/>
        <v>13.378087841691896</v>
      </c>
      <c r="C20">
        <f t="shared" si="2"/>
        <v>7.783774296871572</v>
      </c>
      <c r="D20">
        <f t="shared" si="2"/>
        <v>9.3457943925233664</v>
      </c>
      <c r="E20">
        <f t="shared" si="2"/>
        <v>11.070159273397396</v>
      </c>
      <c r="F20">
        <f t="shared" si="2"/>
        <v>5.3617656092317141</v>
      </c>
      <c r="G20">
        <f t="shared" si="3"/>
        <v>20.816275114946148</v>
      </c>
      <c r="H20">
        <f t="shared" si="3"/>
        <v>2.6232915538199912</v>
      </c>
      <c r="I20">
        <f t="shared" si="3"/>
        <v>2.3902500472381432</v>
      </c>
      <c r="J20">
        <f t="shared" si="3"/>
        <v>0.41884486993764558</v>
      </c>
    </row>
    <row r="21" spans="1:38">
      <c r="A21" t="s">
        <v>88</v>
      </c>
      <c r="B21">
        <f t="shared" si="2"/>
        <v>5.6162520293098162</v>
      </c>
      <c r="C21">
        <f t="shared" si="2"/>
        <v>4.0366811460664298</v>
      </c>
      <c r="D21">
        <f t="shared" si="2"/>
        <v>4.4798385327541572</v>
      </c>
      <c r="E21">
        <f t="shared" si="2"/>
        <v>4.5939186520995134</v>
      </c>
      <c r="F21">
        <f t="shared" si="2"/>
        <v>9.1922250010969258</v>
      </c>
      <c r="G21">
        <f t="shared" si="3"/>
        <v>8.2194369213327452</v>
      </c>
      <c r="H21">
        <f t="shared" si="3"/>
        <v>0.74006424387478742</v>
      </c>
      <c r="I21">
        <f t="shared" si="3"/>
        <v>0.74321345342319078</v>
      </c>
      <c r="J21">
        <f t="shared" si="3"/>
        <v>0.76525792026201411</v>
      </c>
    </row>
    <row r="30" spans="1:38" s="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2" spans="1:38" s="1" customForma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 s="1" customForma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5" spans="1:38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7" spans="1:38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E904-23D6-CC4B-8413-4708ABD73340}">
  <dimension ref="A1:Q180"/>
  <sheetViews>
    <sheetView topLeftCell="A152" zoomScale="165" workbookViewId="0">
      <selection activeCell="F180" sqref="F180:N180"/>
    </sheetView>
  </sheetViews>
  <sheetFormatPr baseColWidth="10" defaultRowHeight="16"/>
  <cols>
    <col min="1" max="1" width="11.5" customWidth="1"/>
    <col min="2" max="2" width="18.5" customWidth="1"/>
  </cols>
  <sheetData>
    <row r="1" spans="1:17">
      <c r="A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  <c r="Q1" s="2"/>
    </row>
    <row r="2" spans="1:17">
      <c r="A2">
        <v>1</v>
      </c>
      <c r="B2" t="s">
        <v>8</v>
      </c>
      <c r="C2" t="s">
        <v>359</v>
      </c>
      <c r="D2" t="s">
        <v>98</v>
      </c>
      <c r="E2" t="s">
        <v>99</v>
      </c>
      <c r="L2">
        <v>3.3</v>
      </c>
      <c r="Q2" s="2"/>
    </row>
    <row r="3" spans="1:17">
      <c r="A3">
        <v>2</v>
      </c>
      <c r="B3" t="s">
        <v>8</v>
      </c>
      <c r="C3" t="s">
        <v>360</v>
      </c>
      <c r="D3" t="s">
        <v>7</v>
      </c>
      <c r="E3" t="s">
        <v>9</v>
      </c>
      <c r="F3">
        <v>4.0999999999999996</v>
      </c>
      <c r="G3">
        <v>29.6</v>
      </c>
      <c r="H3">
        <v>30.6</v>
      </c>
      <c r="I3">
        <v>34.700000000000003</v>
      </c>
      <c r="J3">
        <v>99.7</v>
      </c>
      <c r="K3">
        <v>24.8</v>
      </c>
      <c r="L3">
        <v>15.6</v>
      </c>
      <c r="M3">
        <v>13.3</v>
      </c>
      <c r="N3">
        <v>10.199999999999999</v>
      </c>
      <c r="Q3" s="3"/>
    </row>
    <row r="4" spans="1:17">
      <c r="A4">
        <v>3</v>
      </c>
      <c r="B4" t="s">
        <v>8</v>
      </c>
      <c r="C4" t="s">
        <v>362</v>
      </c>
      <c r="D4" t="s">
        <v>119</v>
      </c>
      <c r="E4" t="s">
        <v>120</v>
      </c>
      <c r="F4">
        <v>0.8</v>
      </c>
      <c r="G4">
        <v>1.3</v>
      </c>
      <c r="H4">
        <v>1.5</v>
      </c>
      <c r="I4">
        <v>0.9</v>
      </c>
      <c r="J4">
        <v>0.8</v>
      </c>
      <c r="K4">
        <v>1</v>
      </c>
      <c r="L4">
        <v>1.5</v>
      </c>
      <c r="M4">
        <v>0.7</v>
      </c>
      <c r="N4">
        <v>0.5</v>
      </c>
      <c r="Q4" s="3"/>
    </row>
    <row r="5" spans="1:17">
      <c r="F5">
        <f>SUM(F2:F4)</f>
        <v>4.8999999999999995</v>
      </c>
      <c r="G5">
        <f t="shared" ref="G5:N5" si="0">SUM(G2:G4)</f>
        <v>30.900000000000002</v>
      </c>
      <c r="H5">
        <f t="shared" si="0"/>
        <v>32.1</v>
      </c>
      <c r="I5">
        <f t="shared" si="0"/>
        <v>35.6</v>
      </c>
      <c r="J5">
        <f t="shared" si="0"/>
        <v>100.5</v>
      </c>
      <c r="K5">
        <f t="shared" si="0"/>
        <v>25.8</v>
      </c>
      <c r="L5">
        <f t="shared" si="0"/>
        <v>20.399999999999999</v>
      </c>
      <c r="M5">
        <f t="shared" si="0"/>
        <v>14</v>
      </c>
      <c r="N5">
        <f t="shared" si="0"/>
        <v>10.7</v>
      </c>
      <c r="Q5" s="3"/>
    </row>
    <row r="6" spans="1:17">
      <c r="A6">
        <v>4</v>
      </c>
      <c r="B6" t="s">
        <v>11</v>
      </c>
      <c r="C6" t="s">
        <v>363</v>
      </c>
      <c r="D6" t="s">
        <v>123</v>
      </c>
      <c r="E6" t="s">
        <v>124</v>
      </c>
      <c r="F6">
        <v>20</v>
      </c>
      <c r="G6">
        <v>1.9</v>
      </c>
      <c r="H6">
        <v>0.9</v>
      </c>
      <c r="I6">
        <v>6.9</v>
      </c>
      <c r="J6">
        <v>3.6</v>
      </c>
      <c r="K6">
        <v>4.7</v>
      </c>
      <c r="L6">
        <v>3.3</v>
      </c>
      <c r="M6">
        <v>3</v>
      </c>
      <c r="N6">
        <v>0.6</v>
      </c>
      <c r="Q6" s="3"/>
    </row>
    <row r="7" spans="1:17">
      <c r="A7">
        <v>5</v>
      </c>
      <c r="B7" t="s">
        <v>11</v>
      </c>
      <c r="C7" t="s">
        <v>364</v>
      </c>
      <c r="D7" t="s">
        <v>125</v>
      </c>
      <c r="E7" t="s">
        <v>126</v>
      </c>
      <c r="F7">
        <v>1.2</v>
      </c>
      <c r="G7">
        <v>0.4</v>
      </c>
      <c r="L7">
        <v>2.2000000000000002</v>
      </c>
      <c r="M7">
        <v>0.8</v>
      </c>
      <c r="Q7" s="3"/>
    </row>
    <row r="8" spans="1:17">
      <c r="A8">
        <v>6</v>
      </c>
      <c r="B8" t="s">
        <v>11</v>
      </c>
      <c r="C8" t="s">
        <v>365</v>
      </c>
      <c r="D8" t="s">
        <v>129</v>
      </c>
      <c r="E8" t="s">
        <v>130</v>
      </c>
      <c r="F8">
        <v>2.6</v>
      </c>
      <c r="G8">
        <v>0.3</v>
      </c>
      <c r="I8">
        <v>2.6</v>
      </c>
      <c r="J8">
        <v>0.1</v>
      </c>
      <c r="K8">
        <v>0.2</v>
      </c>
      <c r="L8">
        <v>0.3</v>
      </c>
      <c r="M8">
        <v>0.3</v>
      </c>
      <c r="N8">
        <v>0.1</v>
      </c>
      <c r="Q8" s="3"/>
    </row>
    <row r="9" spans="1:17">
      <c r="A9">
        <v>7</v>
      </c>
      <c r="B9" t="s">
        <v>11</v>
      </c>
      <c r="C9" t="s">
        <v>366</v>
      </c>
      <c r="D9" t="s">
        <v>131</v>
      </c>
      <c r="E9" t="s">
        <v>132</v>
      </c>
      <c r="F9">
        <v>0.1</v>
      </c>
      <c r="G9">
        <v>0.1</v>
      </c>
      <c r="H9">
        <v>0.2</v>
      </c>
      <c r="I9">
        <v>1.7</v>
      </c>
      <c r="J9">
        <v>0.1</v>
      </c>
      <c r="Q9" s="3"/>
    </row>
    <row r="10" spans="1:17">
      <c r="A10">
        <v>8</v>
      </c>
      <c r="B10" t="s">
        <v>11</v>
      </c>
      <c r="C10" t="s">
        <v>367</v>
      </c>
      <c r="D10" t="s">
        <v>144</v>
      </c>
      <c r="E10" t="s">
        <v>145</v>
      </c>
      <c r="F10">
        <v>6.5</v>
      </c>
      <c r="G10">
        <v>0.5</v>
      </c>
      <c r="H10">
        <v>1.8</v>
      </c>
      <c r="I10">
        <v>16.600000000000001</v>
      </c>
      <c r="J10">
        <v>0.9</v>
      </c>
      <c r="K10">
        <v>8.4</v>
      </c>
      <c r="L10">
        <v>6.8</v>
      </c>
      <c r="M10">
        <v>6.9</v>
      </c>
      <c r="N10">
        <v>1.6</v>
      </c>
      <c r="Q10" s="3"/>
    </row>
    <row r="11" spans="1:17">
      <c r="A11">
        <v>9</v>
      </c>
      <c r="B11" t="s">
        <v>11</v>
      </c>
      <c r="C11" t="s">
        <v>368</v>
      </c>
      <c r="D11" t="s">
        <v>151</v>
      </c>
      <c r="E11" t="s">
        <v>152</v>
      </c>
      <c r="I11">
        <v>0.2</v>
      </c>
      <c r="Q11" s="3"/>
    </row>
    <row r="12" spans="1:17">
      <c r="A12">
        <v>10</v>
      </c>
      <c r="B12" t="s">
        <v>11</v>
      </c>
      <c r="C12" t="s">
        <v>369</v>
      </c>
      <c r="D12" t="s">
        <v>155</v>
      </c>
      <c r="E12" t="s">
        <v>156</v>
      </c>
      <c r="I12">
        <v>0.2</v>
      </c>
      <c r="Q12" s="3"/>
    </row>
    <row r="13" spans="1:17">
      <c r="A13">
        <v>11</v>
      </c>
      <c r="B13" t="s">
        <v>11</v>
      </c>
      <c r="C13" t="s">
        <v>370</v>
      </c>
      <c r="D13" t="s">
        <v>10</v>
      </c>
      <c r="E13" t="s">
        <v>12</v>
      </c>
      <c r="I13">
        <v>14.8</v>
      </c>
      <c r="K13">
        <v>88.4</v>
      </c>
      <c r="L13">
        <v>58</v>
      </c>
      <c r="M13">
        <v>55.4</v>
      </c>
      <c r="Q13" s="3"/>
    </row>
    <row r="14" spans="1:17">
      <c r="A14">
        <v>12</v>
      </c>
      <c r="B14" t="s">
        <v>11</v>
      </c>
      <c r="C14" t="s">
        <v>371</v>
      </c>
      <c r="D14" t="s">
        <v>161</v>
      </c>
      <c r="E14" t="s">
        <v>162</v>
      </c>
      <c r="F14">
        <v>0.4</v>
      </c>
      <c r="I14">
        <v>0.4</v>
      </c>
      <c r="K14">
        <v>0.1</v>
      </c>
      <c r="Q14" s="3"/>
    </row>
    <row r="15" spans="1:17">
      <c r="A15">
        <v>13</v>
      </c>
      <c r="B15" t="s">
        <v>11</v>
      </c>
      <c r="C15" t="s">
        <v>372</v>
      </c>
      <c r="D15" t="s">
        <v>13</v>
      </c>
      <c r="E15" t="s">
        <v>14</v>
      </c>
      <c r="F15">
        <v>27.8</v>
      </c>
      <c r="G15">
        <v>47.3</v>
      </c>
      <c r="H15">
        <v>64.099999999999994</v>
      </c>
      <c r="I15">
        <v>62.2</v>
      </c>
      <c r="J15">
        <v>16.600000000000001</v>
      </c>
      <c r="K15">
        <v>55.8</v>
      </c>
      <c r="Q15" s="3"/>
    </row>
    <row r="16" spans="1:17">
      <c r="A16">
        <v>14</v>
      </c>
      <c r="B16" t="s">
        <v>11</v>
      </c>
      <c r="C16" t="s">
        <v>373</v>
      </c>
      <c r="D16" t="s">
        <v>171</v>
      </c>
      <c r="E16" t="s">
        <v>172</v>
      </c>
      <c r="F16">
        <v>14.7</v>
      </c>
      <c r="G16">
        <v>6</v>
      </c>
      <c r="H16">
        <v>6.7</v>
      </c>
      <c r="I16">
        <v>7</v>
      </c>
      <c r="J16">
        <v>1.9</v>
      </c>
      <c r="K16">
        <v>6.8</v>
      </c>
      <c r="L16">
        <v>0.2</v>
      </c>
      <c r="M16">
        <v>0.2</v>
      </c>
      <c r="N16">
        <v>0.4</v>
      </c>
      <c r="Q16" s="3"/>
    </row>
    <row r="17" spans="1:17">
      <c r="A17">
        <v>15</v>
      </c>
      <c r="B17" t="s">
        <v>11</v>
      </c>
      <c r="C17" t="s">
        <v>374</v>
      </c>
      <c r="D17" t="s">
        <v>173</v>
      </c>
      <c r="E17" t="s">
        <v>174</v>
      </c>
      <c r="G17">
        <v>1.4</v>
      </c>
      <c r="H17">
        <v>1.1000000000000001</v>
      </c>
      <c r="J17">
        <v>0.7</v>
      </c>
      <c r="K17">
        <v>6.3</v>
      </c>
      <c r="L17">
        <v>2.4</v>
      </c>
      <c r="Q17" s="3"/>
    </row>
    <row r="18" spans="1:17">
      <c r="A18">
        <v>16</v>
      </c>
      <c r="B18" t="s">
        <v>11</v>
      </c>
      <c r="C18" t="s">
        <v>375</v>
      </c>
      <c r="D18" t="s">
        <v>175</v>
      </c>
      <c r="E18" t="s">
        <v>176</v>
      </c>
      <c r="F18">
        <v>5.3</v>
      </c>
      <c r="G18">
        <v>2.6</v>
      </c>
      <c r="H18">
        <v>2.6</v>
      </c>
      <c r="I18">
        <v>3.4</v>
      </c>
      <c r="J18">
        <v>1.9</v>
      </c>
      <c r="K18">
        <v>10.6</v>
      </c>
      <c r="L18">
        <v>1.3</v>
      </c>
      <c r="M18">
        <v>1.1000000000000001</v>
      </c>
      <c r="N18">
        <v>1.9</v>
      </c>
      <c r="Q18" s="3"/>
    </row>
    <row r="19" spans="1:17">
      <c r="A19">
        <v>17</v>
      </c>
      <c r="B19" t="s">
        <v>11</v>
      </c>
      <c r="C19" t="s">
        <v>376</v>
      </c>
      <c r="D19" t="s">
        <v>179</v>
      </c>
      <c r="E19" t="s">
        <v>180</v>
      </c>
      <c r="F19">
        <v>4.3</v>
      </c>
      <c r="K19">
        <v>6.5</v>
      </c>
      <c r="Q19" s="3"/>
    </row>
    <row r="20" spans="1:17">
      <c r="A20">
        <v>18</v>
      </c>
      <c r="B20" t="s">
        <v>11</v>
      </c>
      <c r="C20" t="s">
        <v>377</v>
      </c>
      <c r="D20" t="s">
        <v>183</v>
      </c>
      <c r="E20" t="s">
        <v>184</v>
      </c>
      <c r="K20">
        <v>1.1000000000000001</v>
      </c>
      <c r="Q20" s="3"/>
    </row>
    <row r="21" spans="1:17">
      <c r="A21">
        <v>19</v>
      </c>
      <c r="B21" t="s">
        <v>11</v>
      </c>
      <c r="C21" t="s">
        <v>378</v>
      </c>
      <c r="D21" t="s">
        <v>15</v>
      </c>
      <c r="E21" t="s">
        <v>16</v>
      </c>
      <c r="F21">
        <v>104.6</v>
      </c>
      <c r="G21">
        <v>52.8</v>
      </c>
      <c r="H21">
        <v>65.8</v>
      </c>
      <c r="I21">
        <v>66.900000000000006</v>
      </c>
      <c r="J21">
        <v>46.9</v>
      </c>
      <c r="K21">
        <v>177.3</v>
      </c>
      <c r="L21">
        <v>5.3</v>
      </c>
      <c r="M21">
        <v>7.2</v>
      </c>
      <c r="N21">
        <v>8.1</v>
      </c>
      <c r="Q21" s="3"/>
    </row>
    <row r="22" spans="1:17">
      <c r="A22">
        <v>20</v>
      </c>
      <c r="B22" t="s">
        <v>11</v>
      </c>
      <c r="C22" t="s">
        <v>379</v>
      </c>
      <c r="D22" t="s">
        <v>17</v>
      </c>
      <c r="E22" t="s">
        <v>18</v>
      </c>
      <c r="F22">
        <v>117.4</v>
      </c>
      <c r="G22">
        <v>64.099999999999994</v>
      </c>
      <c r="H22">
        <v>69.8</v>
      </c>
      <c r="I22">
        <v>69.400000000000006</v>
      </c>
      <c r="J22">
        <v>49.5</v>
      </c>
      <c r="K22">
        <v>294.3</v>
      </c>
      <c r="L22">
        <v>3.4</v>
      </c>
      <c r="M22">
        <v>1</v>
      </c>
      <c r="N22">
        <v>0.6</v>
      </c>
      <c r="Q22" s="3"/>
    </row>
    <row r="23" spans="1:17">
      <c r="A23">
        <v>21</v>
      </c>
      <c r="B23" t="s">
        <v>11</v>
      </c>
      <c r="C23" t="s">
        <v>380</v>
      </c>
      <c r="D23" t="s">
        <v>200</v>
      </c>
      <c r="E23" t="s">
        <v>201</v>
      </c>
      <c r="K23">
        <v>0.5</v>
      </c>
      <c r="Q23" s="3"/>
    </row>
    <row r="24" spans="1:17">
      <c r="A24">
        <v>22</v>
      </c>
      <c r="B24" t="s">
        <v>11</v>
      </c>
      <c r="C24" t="s">
        <v>381</v>
      </c>
      <c r="D24" t="s">
        <v>206</v>
      </c>
      <c r="E24" t="s">
        <v>207</v>
      </c>
      <c r="L24">
        <v>0.1</v>
      </c>
      <c r="Q24" s="3"/>
    </row>
    <row r="25" spans="1:17">
      <c r="F25">
        <f>SUM(F6:F24)</f>
        <v>304.89999999999998</v>
      </c>
      <c r="G25">
        <f t="shared" ref="G25:N25" si="1">SUM(G6:G24)</f>
        <v>177.39999999999998</v>
      </c>
      <c r="H25">
        <f t="shared" si="1"/>
        <v>213</v>
      </c>
      <c r="I25">
        <f t="shared" si="1"/>
        <v>252.3</v>
      </c>
      <c r="J25">
        <f t="shared" si="1"/>
        <v>122.19999999999999</v>
      </c>
      <c r="K25">
        <f t="shared" si="1"/>
        <v>661</v>
      </c>
      <c r="L25">
        <f t="shared" si="1"/>
        <v>83.3</v>
      </c>
      <c r="M25">
        <f t="shared" si="1"/>
        <v>75.900000000000006</v>
      </c>
      <c r="N25">
        <f t="shared" si="1"/>
        <v>13.299999999999999</v>
      </c>
      <c r="Q25" s="3"/>
    </row>
    <row r="26" spans="1:17">
      <c r="A26">
        <v>23</v>
      </c>
      <c r="B26" t="s">
        <v>20</v>
      </c>
      <c r="C26" t="s">
        <v>361</v>
      </c>
      <c r="D26" t="s">
        <v>113</v>
      </c>
      <c r="E26" t="s">
        <v>114</v>
      </c>
      <c r="G26">
        <v>1.1000000000000001</v>
      </c>
      <c r="H26">
        <v>2</v>
      </c>
      <c r="I26">
        <v>2.7</v>
      </c>
      <c r="J26">
        <v>1.8</v>
      </c>
      <c r="K26">
        <v>0.1</v>
      </c>
      <c r="L26">
        <v>0.2</v>
      </c>
      <c r="M26">
        <v>0.9</v>
      </c>
      <c r="N26">
        <v>0.7</v>
      </c>
      <c r="Q26" s="3"/>
    </row>
    <row r="27" spans="1:17">
      <c r="A27">
        <v>24</v>
      </c>
      <c r="B27" t="s">
        <v>20</v>
      </c>
      <c r="C27" t="s">
        <v>382</v>
      </c>
      <c r="D27" t="s">
        <v>218</v>
      </c>
      <c r="E27" t="s">
        <v>219</v>
      </c>
      <c r="L27">
        <v>1.2</v>
      </c>
      <c r="Q27" s="3"/>
    </row>
    <row r="28" spans="1:17">
      <c r="A28">
        <v>25</v>
      </c>
      <c r="B28" t="s">
        <v>20</v>
      </c>
      <c r="C28" t="s">
        <v>383</v>
      </c>
      <c r="D28" t="s">
        <v>19</v>
      </c>
      <c r="E28" t="s">
        <v>21</v>
      </c>
      <c r="F28">
        <v>89</v>
      </c>
      <c r="G28">
        <v>68</v>
      </c>
      <c r="H28">
        <v>104.1</v>
      </c>
      <c r="I28">
        <v>149.6</v>
      </c>
      <c r="J28">
        <v>156.4</v>
      </c>
      <c r="K28">
        <v>43.4</v>
      </c>
      <c r="Q28" s="3"/>
    </row>
    <row r="29" spans="1:17">
      <c r="A29">
        <v>26</v>
      </c>
      <c r="B29" t="s">
        <v>20</v>
      </c>
      <c r="C29" t="s">
        <v>384</v>
      </c>
      <c r="D29" t="s">
        <v>229</v>
      </c>
      <c r="E29" t="s">
        <v>230</v>
      </c>
      <c r="F29">
        <v>0.7</v>
      </c>
      <c r="G29">
        <v>0.3</v>
      </c>
      <c r="H29">
        <v>0.4</v>
      </c>
      <c r="I29">
        <v>0.4</v>
      </c>
      <c r="J29">
        <v>0.2</v>
      </c>
      <c r="K29">
        <v>0.3</v>
      </c>
      <c r="L29">
        <v>0.7</v>
      </c>
      <c r="M29">
        <v>0.2</v>
      </c>
      <c r="Q29" s="3"/>
    </row>
    <row r="30" spans="1:17">
      <c r="F30">
        <f>SUM(F26:F29)</f>
        <v>89.7</v>
      </c>
      <c r="G30">
        <f t="shared" ref="G30:N30" si="2">SUM(G26:G29)</f>
        <v>69.399999999999991</v>
      </c>
      <c r="H30">
        <f t="shared" si="2"/>
        <v>106.5</v>
      </c>
      <c r="I30">
        <f t="shared" si="2"/>
        <v>152.69999999999999</v>
      </c>
      <c r="J30">
        <f t="shared" si="2"/>
        <v>158.4</v>
      </c>
      <c r="K30">
        <f t="shared" si="2"/>
        <v>43.8</v>
      </c>
      <c r="L30">
        <f t="shared" si="2"/>
        <v>2.0999999999999996</v>
      </c>
      <c r="M30">
        <f t="shared" si="2"/>
        <v>1.1000000000000001</v>
      </c>
      <c r="N30">
        <f t="shared" si="2"/>
        <v>0.7</v>
      </c>
      <c r="Q30" s="3"/>
    </row>
    <row r="31" spans="1:17">
      <c r="A31">
        <v>27</v>
      </c>
      <c r="B31" t="s">
        <v>23</v>
      </c>
      <c r="C31" t="s">
        <v>385</v>
      </c>
      <c r="D31" t="s">
        <v>245</v>
      </c>
      <c r="E31" t="s">
        <v>246</v>
      </c>
      <c r="F31">
        <v>1.9</v>
      </c>
      <c r="G31">
        <v>2.7</v>
      </c>
      <c r="H31">
        <v>3.2</v>
      </c>
      <c r="I31">
        <v>1.9</v>
      </c>
      <c r="J31">
        <v>1.5</v>
      </c>
      <c r="K31">
        <v>28.8</v>
      </c>
      <c r="L31">
        <v>20.5</v>
      </c>
      <c r="M31">
        <v>20.2</v>
      </c>
      <c r="N31">
        <v>16.600000000000001</v>
      </c>
      <c r="Q31" s="3"/>
    </row>
    <row r="32" spans="1:17">
      <c r="A32">
        <v>28</v>
      </c>
      <c r="B32" t="s">
        <v>23</v>
      </c>
      <c r="C32" t="s">
        <v>386</v>
      </c>
      <c r="D32" t="s">
        <v>247</v>
      </c>
      <c r="E32" t="s">
        <v>248</v>
      </c>
      <c r="F32">
        <v>0.1</v>
      </c>
      <c r="G32">
        <v>0.3</v>
      </c>
      <c r="H32">
        <v>0.3</v>
      </c>
      <c r="J32">
        <v>0.2</v>
      </c>
      <c r="K32">
        <v>0.4</v>
      </c>
      <c r="L32">
        <v>0.6</v>
      </c>
      <c r="M32">
        <v>0.6</v>
      </c>
      <c r="N32">
        <v>0.4</v>
      </c>
      <c r="Q32" s="3"/>
    </row>
    <row r="33" spans="1:17">
      <c r="A33">
        <v>29</v>
      </c>
      <c r="B33" t="s">
        <v>23</v>
      </c>
      <c r="C33" t="s">
        <v>387</v>
      </c>
      <c r="D33" t="s">
        <v>22</v>
      </c>
      <c r="E33" t="s">
        <v>24</v>
      </c>
      <c r="F33">
        <v>2.7</v>
      </c>
      <c r="G33">
        <v>7</v>
      </c>
      <c r="H33">
        <v>10.199999999999999</v>
      </c>
      <c r="I33">
        <v>3.7</v>
      </c>
      <c r="J33">
        <v>5</v>
      </c>
      <c r="K33">
        <v>23.3</v>
      </c>
      <c r="L33">
        <v>29.1</v>
      </c>
      <c r="M33">
        <v>30.2</v>
      </c>
      <c r="N33">
        <v>24.8</v>
      </c>
      <c r="Q33" s="3"/>
    </row>
    <row r="34" spans="1:17">
      <c r="A34">
        <v>30</v>
      </c>
      <c r="B34" t="s">
        <v>23</v>
      </c>
      <c r="C34" t="s">
        <v>388</v>
      </c>
      <c r="D34" t="s">
        <v>25</v>
      </c>
      <c r="E34" t="s">
        <v>26</v>
      </c>
      <c r="F34">
        <v>27.2</v>
      </c>
      <c r="G34">
        <v>17.3</v>
      </c>
      <c r="H34">
        <v>17.5</v>
      </c>
      <c r="I34">
        <v>18.399999999999999</v>
      </c>
      <c r="J34">
        <v>12.1</v>
      </c>
      <c r="K34">
        <v>31.9</v>
      </c>
      <c r="L34">
        <v>30.8</v>
      </c>
      <c r="M34">
        <v>36</v>
      </c>
      <c r="N34">
        <v>32.700000000000003</v>
      </c>
      <c r="Q34" s="3"/>
    </row>
    <row r="35" spans="1:17">
      <c r="A35">
        <v>31</v>
      </c>
      <c r="B35" t="s">
        <v>23</v>
      </c>
      <c r="C35" t="s">
        <v>389</v>
      </c>
      <c r="D35" t="s">
        <v>253</v>
      </c>
      <c r="E35" t="s">
        <v>254</v>
      </c>
      <c r="G35">
        <v>0.5</v>
      </c>
      <c r="I35">
        <v>0.3</v>
      </c>
      <c r="J35">
        <v>0.2</v>
      </c>
      <c r="K35">
        <v>0.4</v>
      </c>
      <c r="L35">
        <v>0.5</v>
      </c>
      <c r="M35">
        <v>0.7</v>
      </c>
      <c r="Q35" s="3"/>
    </row>
    <row r="36" spans="1:17">
      <c r="A36">
        <v>32</v>
      </c>
      <c r="B36" t="s">
        <v>23</v>
      </c>
      <c r="C36" t="s">
        <v>390</v>
      </c>
      <c r="D36" t="s">
        <v>261</v>
      </c>
      <c r="E36" t="s">
        <v>262</v>
      </c>
      <c r="H36">
        <v>1</v>
      </c>
      <c r="J36">
        <v>1.1000000000000001</v>
      </c>
      <c r="K36">
        <v>0.6</v>
      </c>
      <c r="Q36" s="3"/>
    </row>
    <row r="37" spans="1:17">
      <c r="A37">
        <v>33</v>
      </c>
      <c r="B37" t="s">
        <v>23</v>
      </c>
      <c r="C37" t="s">
        <v>391</v>
      </c>
      <c r="D37" t="s">
        <v>267</v>
      </c>
      <c r="E37" t="s">
        <v>106</v>
      </c>
      <c r="F37">
        <v>0.2</v>
      </c>
      <c r="G37">
        <v>0.5</v>
      </c>
      <c r="H37">
        <v>0.8</v>
      </c>
      <c r="I37">
        <v>0.6</v>
      </c>
      <c r="J37">
        <v>0.8</v>
      </c>
      <c r="K37">
        <v>8.3000000000000007</v>
      </c>
      <c r="L37">
        <v>7.5</v>
      </c>
      <c r="M37">
        <v>5.9</v>
      </c>
      <c r="N37">
        <v>5.4</v>
      </c>
      <c r="Q37" s="3"/>
    </row>
    <row r="38" spans="1:17">
      <c r="A38">
        <v>34</v>
      </c>
      <c r="B38" t="s">
        <v>23</v>
      </c>
      <c r="C38" t="s">
        <v>392</v>
      </c>
      <c r="D38" t="s">
        <v>27</v>
      </c>
      <c r="E38" t="s">
        <v>28</v>
      </c>
      <c r="F38">
        <v>6.2</v>
      </c>
      <c r="G38">
        <v>4</v>
      </c>
      <c r="H38">
        <v>3.7</v>
      </c>
      <c r="I38">
        <v>4.8</v>
      </c>
      <c r="J38">
        <v>17.899999999999999</v>
      </c>
      <c r="K38">
        <v>38.5</v>
      </c>
      <c r="L38">
        <v>33.200000000000003</v>
      </c>
      <c r="M38">
        <v>11.6</v>
      </c>
      <c r="N38">
        <v>9.6999999999999993</v>
      </c>
      <c r="Q38" s="3"/>
    </row>
    <row r="39" spans="1:17">
      <c r="A39">
        <v>35</v>
      </c>
      <c r="B39" t="s">
        <v>23</v>
      </c>
      <c r="C39" t="s">
        <v>393</v>
      </c>
      <c r="D39" t="s">
        <v>305</v>
      </c>
      <c r="E39" t="s">
        <v>306</v>
      </c>
      <c r="G39">
        <v>1.7</v>
      </c>
      <c r="H39">
        <v>2.8</v>
      </c>
      <c r="I39">
        <v>3.9</v>
      </c>
      <c r="J39">
        <v>5.6</v>
      </c>
      <c r="K39">
        <v>1.7</v>
      </c>
      <c r="L39">
        <v>1.4</v>
      </c>
      <c r="M39">
        <v>1.6</v>
      </c>
      <c r="N39">
        <v>1.5</v>
      </c>
      <c r="Q39" s="3"/>
    </row>
    <row r="40" spans="1:17">
      <c r="A40">
        <v>36</v>
      </c>
      <c r="B40" t="s">
        <v>23</v>
      </c>
      <c r="C40" t="s">
        <v>394</v>
      </c>
      <c r="D40" t="s">
        <v>311</v>
      </c>
      <c r="E40" t="s">
        <v>312</v>
      </c>
      <c r="F40">
        <v>2.6</v>
      </c>
      <c r="G40">
        <v>1.7</v>
      </c>
      <c r="H40">
        <v>6.7</v>
      </c>
      <c r="I40">
        <v>1.8</v>
      </c>
      <c r="J40">
        <v>2.5</v>
      </c>
      <c r="K40">
        <v>1.5</v>
      </c>
      <c r="L40">
        <v>2.2000000000000002</v>
      </c>
      <c r="M40">
        <v>1</v>
      </c>
      <c r="N40">
        <v>1.1000000000000001</v>
      </c>
      <c r="Q40" s="3"/>
    </row>
    <row r="41" spans="1:17">
      <c r="A41">
        <v>37</v>
      </c>
      <c r="B41" t="s">
        <v>23</v>
      </c>
      <c r="C41" t="s">
        <v>395</v>
      </c>
      <c r="D41" t="s">
        <v>313</v>
      </c>
      <c r="E41" t="s">
        <v>314</v>
      </c>
      <c r="H41">
        <v>2.2000000000000002</v>
      </c>
      <c r="I41">
        <v>6.7</v>
      </c>
      <c r="J41">
        <v>3.4</v>
      </c>
      <c r="L41">
        <v>2.1</v>
      </c>
      <c r="M41">
        <v>2.2000000000000002</v>
      </c>
      <c r="Q41" s="3"/>
    </row>
    <row r="42" spans="1:17">
      <c r="A42">
        <v>38</v>
      </c>
      <c r="B42" t="s">
        <v>23</v>
      </c>
      <c r="C42" t="s">
        <v>396</v>
      </c>
      <c r="D42" t="s">
        <v>317</v>
      </c>
      <c r="E42" t="s">
        <v>318</v>
      </c>
      <c r="I42">
        <v>5.6</v>
      </c>
      <c r="J42">
        <v>17.5</v>
      </c>
      <c r="N42">
        <v>5.5</v>
      </c>
      <c r="Q42" s="3"/>
    </row>
    <row r="43" spans="1:17">
      <c r="A43">
        <v>39</v>
      </c>
      <c r="B43" t="s">
        <v>23</v>
      </c>
      <c r="C43" t="s">
        <v>397</v>
      </c>
      <c r="D43" t="s">
        <v>321</v>
      </c>
      <c r="E43" t="s">
        <v>322</v>
      </c>
      <c r="F43">
        <v>1.4</v>
      </c>
      <c r="G43">
        <v>2</v>
      </c>
      <c r="H43">
        <v>1.4</v>
      </c>
      <c r="I43">
        <v>4.0999999999999996</v>
      </c>
      <c r="J43">
        <v>1.5</v>
      </c>
      <c r="K43">
        <v>1.4</v>
      </c>
      <c r="L43">
        <v>1.8</v>
      </c>
      <c r="M43">
        <v>0.8</v>
      </c>
      <c r="N43">
        <v>1.6</v>
      </c>
      <c r="Q43" s="3"/>
    </row>
    <row r="44" spans="1:17">
      <c r="A44">
        <v>40</v>
      </c>
      <c r="B44" t="s">
        <v>23</v>
      </c>
      <c r="C44" t="s">
        <v>398</v>
      </c>
      <c r="D44" t="s">
        <v>327</v>
      </c>
      <c r="E44" t="s">
        <v>328</v>
      </c>
      <c r="F44">
        <v>2.7</v>
      </c>
      <c r="G44">
        <v>3</v>
      </c>
      <c r="H44">
        <v>3.2</v>
      </c>
      <c r="I44">
        <v>3.8</v>
      </c>
      <c r="J44">
        <v>3.9</v>
      </c>
      <c r="K44">
        <v>0.7</v>
      </c>
      <c r="L44">
        <v>0.6</v>
      </c>
      <c r="M44">
        <v>0.6</v>
      </c>
      <c r="N44">
        <v>0.5</v>
      </c>
      <c r="Q44" s="3"/>
    </row>
    <row r="45" spans="1:17">
      <c r="A45">
        <v>41</v>
      </c>
      <c r="B45" t="s">
        <v>23</v>
      </c>
      <c r="C45" t="s">
        <v>399</v>
      </c>
      <c r="D45" t="s">
        <v>332</v>
      </c>
      <c r="E45" t="s">
        <v>333</v>
      </c>
      <c r="I45">
        <v>0.7</v>
      </c>
      <c r="J45">
        <v>0.9</v>
      </c>
      <c r="Q45" s="3"/>
    </row>
    <row r="46" spans="1:17">
      <c r="A46">
        <v>42</v>
      </c>
      <c r="B46" t="s">
        <v>23</v>
      </c>
      <c r="C46" t="s">
        <v>400</v>
      </c>
      <c r="D46" t="s">
        <v>338</v>
      </c>
      <c r="E46" t="s">
        <v>339</v>
      </c>
      <c r="F46">
        <v>9</v>
      </c>
      <c r="G46">
        <v>6.7</v>
      </c>
      <c r="H46">
        <v>6.6</v>
      </c>
      <c r="I46">
        <v>6.9</v>
      </c>
      <c r="J46">
        <v>6.2</v>
      </c>
      <c r="K46">
        <v>3.9</v>
      </c>
      <c r="L46">
        <v>3.8</v>
      </c>
      <c r="M46">
        <v>4.3</v>
      </c>
      <c r="N46">
        <v>3.8</v>
      </c>
      <c r="Q46" s="3"/>
    </row>
    <row r="47" spans="1:17">
      <c r="A47">
        <v>43</v>
      </c>
      <c r="B47" t="s">
        <v>23</v>
      </c>
      <c r="C47" t="s">
        <v>401</v>
      </c>
      <c r="D47" t="s">
        <v>342</v>
      </c>
      <c r="E47" t="s">
        <v>343</v>
      </c>
      <c r="F47">
        <v>5</v>
      </c>
      <c r="G47">
        <v>2</v>
      </c>
      <c r="H47">
        <v>1.8</v>
      </c>
      <c r="I47">
        <v>8</v>
      </c>
      <c r="J47">
        <v>8.4</v>
      </c>
      <c r="K47">
        <v>4.4000000000000004</v>
      </c>
      <c r="L47">
        <v>4.9000000000000004</v>
      </c>
      <c r="M47">
        <v>4</v>
      </c>
      <c r="N47">
        <v>3.6</v>
      </c>
      <c r="Q47" s="3"/>
    </row>
    <row r="48" spans="1:17">
      <c r="A48">
        <v>44</v>
      </c>
      <c r="B48" t="s">
        <v>23</v>
      </c>
      <c r="C48" t="s">
        <v>402</v>
      </c>
      <c r="D48" t="s">
        <v>29</v>
      </c>
      <c r="E48" t="s">
        <v>30</v>
      </c>
      <c r="F48">
        <v>35.6</v>
      </c>
      <c r="G48">
        <v>26.1</v>
      </c>
      <c r="H48">
        <v>25</v>
      </c>
      <c r="I48">
        <v>25.8</v>
      </c>
      <c r="J48">
        <v>19.7</v>
      </c>
      <c r="K48">
        <v>2</v>
      </c>
      <c r="L48">
        <v>1.8</v>
      </c>
      <c r="M48">
        <v>2</v>
      </c>
      <c r="N48">
        <v>1.7</v>
      </c>
      <c r="Q48" s="3"/>
    </row>
    <row r="49" spans="1:17">
      <c r="A49">
        <v>45</v>
      </c>
      <c r="B49" t="s">
        <v>23</v>
      </c>
      <c r="C49" t="s">
        <v>403</v>
      </c>
      <c r="D49" t="s">
        <v>346</v>
      </c>
      <c r="E49" t="s">
        <v>347</v>
      </c>
      <c r="F49">
        <v>4.5</v>
      </c>
      <c r="G49">
        <v>3.1</v>
      </c>
      <c r="H49">
        <v>3.5</v>
      </c>
      <c r="I49">
        <v>4.4000000000000004</v>
      </c>
      <c r="J49">
        <v>0.8</v>
      </c>
      <c r="K49">
        <v>4.9000000000000004</v>
      </c>
      <c r="L49">
        <v>3.2</v>
      </c>
      <c r="M49">
        <v>5.8</v>
      </c>
      <c r="N49">
        <v>7.7</v>
      </c>
      <c r="Q49" s="3"/>
    </row>
    <row r="50" spans="1:17">
      <c r="A50">
        <v>46</v>
      </c>
      <c r="B50" t="s">
        <v>23</v>
      </c>
      <c r="C50" t="s">
        <v>404</v>
      </c>
      <c r="D50" t="s">
        <v>103</v>
      </c>
      <c r="E50" t="s">
        <v>104</v>
      </c>
      <c r="F50">
        <v>0.6</v>
      </c>
      <c r="G50">
        <v>1.4</v>
      </c>
      <c r="H50">
        <v>1.6</v>
      </c>
      <c r="I50">
        <v>1.6</v>
      </c>
      <c r="J50">
        <v>1.2</v>
      </c>
      <c r="K50">
        <v>0.3</v>
      </c>
      <c r="L50">
        <v>0.1</v>
      </c>
      <c r="Q50" s="3"/>
    </row>
    <row r="51" spans="1:17">
      <c r="F51">
        <f>SUM(F31:F50)</f>
        <v>99.7</v>
      </c>
      <c r="G51">
        <f t="shared" ref="G51:N51" si="3">SUM(G31:G50)</f>
        <v>80</v>
      </c>
      <c r="H51">
        <f t="shared" si="3"/>
        <v>91.5</v>
      </c>
      <c r="I51">
        <f t="shared" si="3"/>
        <v>103</v>
      </c>
      <c r="J51">
        <f t="shared" si="3"/>
        <v>110.40000000000002</v>
      </c>
      <c r="K51">
        <f t="shared" si="3"/>
        <v>153</v>
      </c>
      <c r="L51">
        <f t="shared" si="3"/>
        <v>144.10000000000002</v>
      </c>
      <c r="M51">
        <f t="shared" si="3"/>
        <v>127.49999999999999</v>
      </c>
      <c r="N51">
        <f t="shared" si="3"/>
        <v>116.6</v>
      </c>
      <c r="Q51" s="3"/>
    </row>
    <row r="52" spans="1:17">
      <c r="A52">
        <v>47</v>
      </c>
      <c r="B52" t="s">
        <v>32</v>
      </c>
      <c r="C52" t="s">
        <v>405</v>
      </c>
      <c r="D52" t="s">
        <v>105</v>
      </c>
      <c r="E52" t="s">
        <v>106</v>
      </c>
      <c r="F52">
        <v>0.2</v>
      </c>
      <c r="H52">
        <v>0.1</v>
      </c>
      <c r="I52">
        <v>0.2</v>
      </c>
      <c r="J52">
        <v>0.1</v>
      </c>
      <c r="K52">
        <v>0.3</v>
      </c>
      <c r="L52">
        <v>0.1</v>
      </c>
      <c r="M52">
        <v>0.2</v>
      </c>
      <c r="N52">
        <v>0.2</v>
      </c>
      <c r="Q52" s="3"/>
    </row>
    <row r="53" spans="1:17">
      <c r="A53">
        <v>48</v>
      </c>
      <c r="B53" t="s">
        <v>32</v>
      </c>
      <c r="C53" t="s">
        <v>406</v>
      </c>
      <c r="D53" t="s">
        <v>31</v>
      </c>
      <c r="E53" t="s">
        <v>33</v>
      </c>
      <c r="F53">
        <v>116.5</v>
      </c>
      <c r="G53">
        <v>40.5</v>
      </c>
      <c r="H53">
        <v>73</v>
      </c>
      <c r="I53">
        <v>46.2</v>
      </c>
      <c r="J53">
        <v>16.8</v>
      </c>
      <c r="K53">
        <v>12.3</v>
      </c>
      <c r="L53">
        <v>8.1999999999999993</v>
      </c>
      <c r="M53">
        <v>12.5</v>
      </c>
      <c r="N53">
        <v>10.9</v>
      </c>
      <c r="Q53" s="3"/>
    </row>
    <row r="54" spans="1:17">
      <c r="A54">
        <v>49</v>
      </c>
      <c r="B54" t="s">
        <v>32</v>
      </c>
      <c r="C54" t="s">
        <v>407</v>
      </c>
      <c r="D54" t="s">
        <v>34</v>
      </c>
      <c r="E54" t="s">
        <v>35</v>
      </c>
      <c r="F54">
        <v>112.3</v>
      </c>
      <c r="G54">
        <v>67.400000000000006</v>
      </c>
      <c r="H54">
        <v>94.2</v>
      </c>
      <c r="I54">
        <v>76</v>
      </c>
      <c r="J54">
        <v>83.4</v>
      </c>
      <c r="K54">
        <v>128.80000000000001</v>
      </c>
      <c r="L54">
        <v>13.1</v>
      </c>
      <c r="M54">
        <v>39.6</v>
      </c>
      <c r="N54">
        <v>36.9</v>
      </c>
      <c r="Q54" s="3"/>
    </row>
    <row r="55" spans="1:17">
      <c r="A55">
        <v>50</v>
      </c>
      <c r="B55" t="s">
        <v>32</v>
      </c>
      <c r="C55" t="s">
        <v>408</v>
      </c>
      <c r="D55" t="s">
        <v>115</v>
      </c>
      <c r="E55" t="s">
        <v>116</v>
      </c>
      <c r="F55">
        <v>2.8</v>
      </c>
      <c r="G55">
        <v>1.1000000000000001</v>
      </c>
      <c r="H55">
        <v>3.3</v>
      </c>
      <c r="I55">
        <v>2.2999999999999998</v>
      </c>
      <c r="J55">
        <v>1.3</v>
      </c>
      <c r="K55">
        <v>0.7</v>
      </c>
      <c r="L55">
        <v>0.6</v>
      </c>
      <c r="M55">
        <v>0.7</v>
      </c>
      <c r="N55">
        <v>0.2</v>
      </c>
      <c r="Q55" s="3"/>
    </row>
    <row r="56" spans="1:17">
      <c r="A56">
        <v>51</v>
      </c>
      <c r="B56" t="s">
        <v>32</v>
      </c>
      <c r="C56" t="s">
        <v>409</v>
      </c>
      <c r="D56" t="s">
        <v>117</v>
      </c>
      <c r="E56" t="s">
        <v>118</v>
      </c>
      <c r="F56">
        <v>4.0999999999999996</v>
      </c>
      <c r="G56">
        <v>2.4</v>
      </c>
      <c r="H56">
        <v>2.5</v>
      </c>
      <c r="I56">
        <v>2.5</v>
      </c>
      <c r="J56">
        <v>0.9</v>
      </c>
      <c r="K56">
        <v>2.6</v>
      </c>
      <c r="L56">
        <v>1.2</v>
      </c>
      <c r="M56">
        <v>5.0999999999999996</v>
      </c>
      <c r="Q56" s="3"/>
    </row>
    <row r="57" spans="1:17">
      <c r="A57">
        <v>52</v>
      </c>
      <c r="B57" t="s">
        <v>32</v>
      </c>
      <c r="C57" t="s">
        <v>410</v>
      </c>
      <c r="D57" t="s">
        <v>36</v>
      </c>
      <c r="E57" t="s">
        <v>37</v>
      </c>
      <c r="F57">
        <v>43.3</v>
      </c>
      <c r="G57">
        <v>16.7</v>
      </c>
      <c r="H57">
        <v>30.2</v>
      </c>
      <c r="I57">
        <v>25.1</v>
      </c>
      <c r="J57">
        <v>7.3</v>
      </c>
      <c r="K57">
        <v>32.299999999999997</v>
      </c>
      <c r="L57">
        <v>35</v>
      </c>
      <c r="M57">
        <v>3.3</v>
      </c>
      <c r="N57">
        <v>30.7</v>
      </c>
      <c r="Q57" s="3"/>
    </row>
    <row r="58" spans="1:17">
      <c r="A58">
        <v>53</v>
      </c>
      <c r="B58" t="s">
        <v>32</v>
      </c>
      <c r="C58" t="s">
        <v>411</v>
      </c>
      <c r="D58" t="s">
        <v>121</v>
      </c>
      <c r="E58" t="s">
        <v>122</v>
      </c>
      <c r="F58">
        <v>0.5</v>
      </c>
      <c r="G58">
        <v>1.9</v>
      </c>
      <c r="H58">
        <v>2.9</v>
      </c>
      <c r="I58">
        <v>3.1</v>
      </c>
      <c r="J58">
        <v>1</v>
      </c>
      <c r="M58">
        <v>1</v>
      </c>
      <c r="N58">
        <v>2.8</v>
      </c>
      <c r="Q58" s="3"/>
    </row>
    <row r="59" spans="1:17">
      <c r="A59">
        <v>54</v>
      </c>
      <c r="B59" t="s">
        <v>32</v>
      </c>
      <c r="C59" t="s">
        <v>412</v>
      </c>
      <c r="D59" t="s">
        <v>38</v>
      </c>
      <c r="E59" t="s">
        <v>39</v>
      </c>
      <c r="F59">
        <v>84.6</v>
      </c>
      <c r="G59">
        <v>32.700000000000003</v>
      </c>
      <c r="H59">
        <v>50.3</v>
      </c>
      <c r="I59">
        <v>52.1</v>
      </c>
      <c r="J59">
        <v>29.7</v>
      </c>
      <c r="K59">
        <v>67.099999999999994</v>
      </c>
      <c r="L59">
        <v>39.5</v>
      </c>
      <c r="M59">
        <v>44</v>
      </c>
      <c r="N59">
        <v>47.2</v>
      </c>
      <c r="Q59" s="3"/>
    </row>
    <row r="60" spans="1:17">
      <c r="A60">
        <v>55</v>
      </c>
      <c r="B60" t="s">
        <v>32</v>
      </c>
      <c r="C60" t="s">
        <v>413</v>
      </c>
      <c r="D60" t="s">
        <v>40</v>
      </c>
      <c r="E60" t="s">
        <v>41</v>
      </c>
      <c r="F60">
        <v>26.4</v>
      </c>
      <c r="G60">
        <v>12.6</v>
      </c>
      <c r="H60">
        <v>16.5</v>
      </c>
      <c r="I60">
        <v>17.100000000000001</v>
      </c>
      <c r="J60">
        <v>11.1</v>
      </c>
      <c r="K60">
        <v>36.200000000000003</v>
      </c>
      <c r="L60">
        <v>74.7</v>
      </c>
      <c r="M60">
        <v>80.400000000000006</v>
      </c>
      <c r="N60">
        <v>90.5</v>
      </c>
      <c r="Q60" s="3"/>
    </row>
    <row r="61" spans="1:17">
      <c r="A61">
        <v>56</v>
      </c>
      <c r="B61" t="s">
        <v>32</v>
      </c>
      <c r="C61" t="s">
        <v>414</v>
      </c>
      <c r="D61" t="s">
        <v>127</v>
      </c>
      <c r="E61" t="s">
        <v>128</v>
      </c>
      <c r="I61">
        <v>0.1</v>
      </c>
      <c r="L61">
        <v>0.1</v>
      </c>
      <c r="M61">
        <v>0.1</v>
      </c>
      <c r="Q61" s="3"/>
    </row>
    <row r="62" spans="1:17">
      <c r="A62">
        <v>57</v>
      </c>
      <c r="B62" t="s">
        <v>32</v>
      </c>
      <c r="C62" t="s">
        <v>415</v>
      </c>
      <c r="D62" t="s">
        <v>42</v>
      </c>
      <c r="E62" t="s">
        <v>43</v>
      </c>
      <c r="F62">
        <v>109.3</v>
      </c>
      <c r="G62">
        <v>42.1</v>
      </c>
      <c r="H62">
        <v>64.3</v>
      </c>
      <c r="I62">
        <v>70.7</v>
      </c>
      <c r="J62">
        <v>37.799999999999997</v>
      </c>
      <c r="K62">
        <v>166.8</v>
      </c>
      <c r="L62">
        <v>33</v>
      </c>
      <c r="M62">
        <v>37.5</v>
      </c>
      <c r="N62">
        <v>39.200000000000003</v>
      </c>
      <c r="Q62" s="3"/>
    </row>
    <row r="63" spans="1:17">
      <c r="A63">
        <v>58</v>
      </c>
      <c r="B63" t="s">
        <v>32</v>
      </c>
      <c r="C63" t="s">
        <v>416</v>
      </c>
      <c r="D63" t="s">
        <v>133</v>
      </c>
      <c r="E63" t="s">
        <v>417</v>
      </c>
      <c r="F63">
        <v>3.5</v>
      </c>
      <c r="G63">
        <v>1.4</v>
      </c>
      <c r="H63">
        <v>2.4</v>
      </c>
      <c r="I63">
        <v>2</v>
      </c>
      <c r="J63">
        <v>1.1000000000000001</v>
      </c>
      <c r="K63">
        <v>1.6</v>
      </c>
      <c r="L63">
        <v>1.3</v>
      </c>
      <c r="M63">
        <v>3.3</v>
      </c>
      <c r="N63">
        <v>1.6</v>
      </c>
      <c r="Q63" s="3"/>
    </row>
    <row r="64" spans="1:17">
      <c r="A64">
        <v>59</v>
      </c>
      <c r="B64" t="s">
        <v>32</v>
      </c>
      <c r="C64" t="s">
        <v>418</v>
      </c>
      <c r="D64" t="s">
        <v>136</v>
      </c>
      <c r="E64" t="s">
        <v>137</v>
      </c>
      <c r="F64">
        <v>0.5</v>
      </c>
      <c r="G64">
        <v>0.5</v>
      </c>
      <c r="H64">
        <v>0.5</v>
      </c>
      <c r="I64">
        <v>0.4</v>
      </c>
      <c r="J64">
        <v>0.1</v>
      </c>
      <c r="K64">
        <v>0.3</v>
      </c>
      <c r="M64">
        <v>0.2</v>
      </c>
      <c r="N64">
        <v>0.1</v>
      </c>
      <c r="Q64" s="3"/>
    </row>
    <row r="65" spans="1:17">
      <c r="A65">
        <v>60</v>
      </c>
      <c r="B65" t="s">
        <v>32</v>
      </c>
      <c r="C65" t="s">
        <v>419</v>
      </c>
      <c r="D65" t="s">
        <v>140</v>
      </c>
      <c r="E65" t="s">
        <v>141</v>
      </c>
      <c r="F65">
        <v>0.1</v>
      </c>
      <c r="H65">
        <v>0.1</v>
      </c>
      <c r="I65">
        <v>0.2</v>
      </c>
      <c r="J65">
        <v>0.1</v>
      </c>
      <c r="K65">
        <v>1.1000000000000001</v>
      </c>
      <c r="L65">
        <v>0.1</v>
      </c>
      <c r="M65">
        <v>0.1</v>
      </c>
      <c r="N65">
        <v>0.1</v>
      </c>
      <c r="Q65" s="3"/>
    </row>
    <row r="66" spans="1:17">
      <c r="A66">
        <v>61</v>
      </c>
      <c r="B66" t="s">
        <v>32</v>
      </c>
      <c r="C66" t="s">
        <v>420</v>
      </c>
      <c r="D66" t="s">
        <v>146</v>
      </c>
      <c r="E66" t="s">
        <v>147</v>
      </c>
      <c r="F66">
        <v>3.9</v>
      </c>
      <c r="G66">
        <v>3</v>
      </c>
      <c r="H66">
        <v>3.9</v>
      </c>
      <c r="I66">
        <v>4.5</v>
      </c>
      <c r="J66">
        <v>1.7</v>
      </c>
      <c r="K66">
        <v>3</v>
      </c>
      <c r="L66">
        <v>2.9</v>
      </c>
      <c r="M66">
        <v>1.5</v>
      </c>
      <c r="N66">
        <v>0.6</v>
      </c>
      <c r="Q66" s="3"/>
    </row>
    <row r="67" spans="1:17">
      <c r="A67">
        <v>62</v>
      </c>
      <c r="B67" t="s">
        <v>32</v>
      </c>
      <c r="C67" t="s">
        <v>421</v>
      </c>
      <c r="D67" t="s">
        <v>44</v>
      </c>
      <c r="E67" t="s">
        <v>45</v>
      </c>
      <c r="F67">
        <v>33.1</v>
      </c>
      <c r="G67">
        <v>12.4</v>
      </c>
      <c r="H67">
        <v>19.399999999999999</v>
      </c>
      <c r="I67">
        <v>22.1</v>
      </c>
      <c r="J67">
        <v>9.6999999999999993</v>
      </c>
      <c r="K67">
        <v>41.8</v>
      </c>
      <c r="L67">
        <v>6</v>
      </c>
      <c r="M67">
        <v>5.2</v>
      </c>
      <c r="N67">
        <v>4.5</v>
      </c>
      <c r="Q67" s="3"/>
    </row>
    <row r="68" spans="1:17">
      <c r="A68">
        <v>63</v>
      </c>
      <c r="B68" t="s">
        <v>32</v>
      </c>
      <c r="C68" t="s">
        <v>422</v>
      </c>
      <c r="D68" t="s">
        <v>46</v>
      </c>
      <c r="E68" t="s">
        <v>47</v>
      </c>
      <c r="F68">
        <v>26.9</v>
      </c>
      <c r="G68">
        <v>9.4</v>
      </c>
      <c r="H68">
        <v>15.9</v>
      </c>
      <c r="I68">
        <v>17.5</v>
      </c>
      <c r="J68">
        <v>6.2</v>
      </c>
      <c r="K68">
        <v>35.200000000000003</v>
      </c>
      <c r="L68">
        <v>3.8</v>
      </c>
      <c r="M68">
        <v>4.2</v>
      </c>
      <c r="N68">
        <v>4.2</v>
      </c>
      <c r="Q68" s="3"/>
    </row>
    <row r="69" spans="1:17">
      <c r="F69">
        <f>SUM(F52:F68)</f>
        <v>567.99999999999989</v>
      </c>
      <c r="G69">
        <f t="shared" ref="G69:N69" si="4">SUM(G52:G68)</f>
        <v>244.1</v>
      </c>
      <c r="H69">
        <f t="shared" si="4"/>
        <v>379.49999999999994</v>
      </c>
      <c r="I69">
        <f t="shared" si="4"/>
        <v>342.09999999999997</v>
      </c>
      <c r="J69">
        <f t="shared" si="4"/>
        <v>208.29999999999993</v>
      </c>
      <c r="K69">
        <f t="shared" si="4"/>
        <v>530.10000000000014</v>
      </c>
      <c r="L69">
        <f t="shared" si="4"/>
        <v>219.60000000000002</v>
      </c>
      <c r="M69">
        <f t="shared" si="4"/>
        <v>238.89999999999998</v>
      </c>
      <c r="N69">
        <f t="shared" si="4"/>
        <v>269.7000000000001</v>
      </c>
      <c r="Q69" s="3"/>
    </row>
    <row r="70" spans="1:17">
      <c r="A70">
        <v>64</v>
      </c>
      <c r="B70" t="s">
        <v>49</v>
      </c>
      <c r="C70" t="s">
        <v>423</v>
      </c>
      <c r="D70" t="s">
        <v>48</v>
      </c>
      <c r="E70" t="s">
        <v>50</v>
      </c>
      <c r="F70">
        <v>23.5</v>
      </c>
      <c r="G70">
        <v>30.4</v>
      </c>
      <c r="H70">
        <v>23.9</v>
      </c>
      <c r="I70">
        <v>11.4</v>
      </c>
      <c r="J70">
        <v>8.1</v>
      </c>
      <c r="K70">
        <v>39.1</v>
      </c>
      <c r="L70">
        <v>21.5</v>
      </c>
      <c r="M70">
        <v>13.4</v>
      </c>
      <c r="N70">
        <v>17.7</v>
      </c>
      <c r="Q70" s="3"/>
    </row>
    <row r="71" spans="1:17">
      <c r="A71">
        <v>65</v>
      </c>
      <c r="B71" t="s">
        <v>49</v>
      </c>
      <c r="C71" t="s">
        <v>424</v>
      </c>
      <c r="D71" t="s">
        <v>153</v>
      </c>
      <c r="E71" t="s">
        <v>154</v>
      </c>
      <c r="F71">
        <v>22.9</v>
      </c>
      <c r="G71">
        <v>24.3</v>
      </c>
      <c r="H71">
        <v>23.4</v>
      </c>
      <c r="I71">
        <v>24.8</v>
      </c>
      <c r="J71">
        <v>20.8</v>
      </c>
      <c r="K71">
        <v>25.1</v>
      </c>
      <c r="L71">
        <v>10.7</v>
      </c>
      <c r="M71">
        <v>6.4</v>
      </c>
      <c r="N71">
        <v>9.1</v>
      </c>
      <c r="Q71" s="3"/>
    </row>
    <row r="72" spans="1:17">
      <c r="A72">
        <v>66</v>
      </c>
      <c r="B72" t="s">
        <v>49</v>
      </c>
      <c r="C72" t="s">
        <v>425</v>
      </c>
      <c r="D72" t="s">
        <v>51</v>
      </c>
      <c r="E72" t="s">
        <v>52</v>
      </c>
      <c r="F72">
        <v>283.39999999999998</v>
      </c>
      <c r="G72">
        <v>163.80000000000001</v>
      </c>
      <c r="H72">
        <v>199.5</v>
      </c>
      <c r="I72">
        <v>135.9</v>
      </c>
      <c r="J72">
        <v>93.2</v>
      </c>
      <c r="K72">
        <v>194.3</v>
      </c>
      <c r="L72">
        <v>194.4</v>
      </c>
      <c r="M72">
        <v>226</v>
      </c>
      <c r="N72">
        <v>277.3</v>
      </c>
      <c r="Q72" s="3"/>
    </row>
    <row r="73" spans="1:17">
      <c r="A73">
        <v>67</v>
      </c>
      <c r="B73" t="s">
        <v>49</v>
      </c>
      <c r="C73" t="s">
        <v>426</v>
      </c>
      <c r="D73" t="s">
        <v>53</v>
      </c>
      <c r="E73" t="s">
        <v>54</v>
      </c>
      <c r="F73">
        <v>225.1</v>
      </c>
      <c r="G73">
        <v>140.80000000000001</v>
      </c>
      <c r="H73">
        <v>164</v>
      </c>
      <c r="I73">
        <v>114.5</v>
      </c>
      <c r="J73">
        <v>81.400000000000006</v>
      </c>
      <c r="K73">
        <v>158.19999999999999</v>
      </c>
      <c r="L73">
        <v>166.5</v>
      </c>
      <c r="M73">
        <v>188.4</v>
      </c>
      <c r="N73">
        <v>233.3</v>
      </c>
      <c r="Q73" s="3"/>
    </row>
    <row r="74" spans="1:17">
      <c r="A74">
        <v>68</v>
      </c>
      <c r="B74" t="s">
        <v>49</v>
      </c>
      <c r="C74" t="s">
        <v>427</v>
      </c>
      <c r="D74" t="s">
        <v>55</v>
      </c>
      <c r="E74" t="s">
        <v>56</v>
      </c>
      <c r="F74">
        <v>10.9</v>
      </c>
      <c r="G74">
        <v>10.9</v>
      </c>
      <c r="H74">
        <v>7.1</v>
      </c>
      <c r="I74">
        <v>16.2</v>
      </c>
      <c r="J74">
        <v>12.4</v>
      </c>
      <c r="K74">
        <v>4.4000000000000004</v>
      </c>
      <c r="L74">
        <v>69.5</v>
      </c>
      <c r="M74">
        <v>18.399999999999999</v>
      </c>
      <c r="N74">
        <v>8.6</v>
      </c>
      <c r="Q74" s="3"/>
    </row>
    <row r="75" spans="1:17">
      <c r="A75">
        <v>69</v>
      </c>
      <c r="B75" t="s">
        <v>49</v>
      </c>
      <c r="C75" t="s">
        <v>428</v>
      </c>
      <c r="D75" t="s">
        <v>163</v>
      </c>
      <c r="E75" t="s">
        <v>164</v>
      </c>
      <c r="I75">
        <v>0.1</v>
      </c>
      <c r="N75">
        <v>0.1</v>
      </c>
      <c r="Q75" s="3"/>
    </row>
    <row r="76" spans="1:17">
      <c r="A76">
        <v>70</v>
      </c>
      <c r="B76" t="s">
        <v>49</v>
      </c>
      <c r="C76" t="s">
        <v>429</v>
      </c>
      <c r="D76" t="s">
        <v>167</v>
      </c>
      <c r="E76" t="s">
        <v>168</v>
      </c>
      <c r="G76">
        <v>0.1</v>
      </c>
      <c r="H76">
        <v>0.1</v>
      </c>
      <c r="K76">
        <v>0.1</v>
      </c>
      <c r="L76">
        <v>0.1</v>
      </c>
      <c r="M76">
        <v>0.1</v>
      </c>
      <c r="N76">
        <v>0.1</v>
      </c>
      <c r="Q76" s="3"/>
    </row>
    <row r="77" spans="1:17">
      <c r="A77">
        <v>71</v>
      </c>
      <c r="B77" t="s">
        <v>49</v>
      </c>
      <c r="C77" t="s">
        <v>430</v>
      </c>
      <c r="D77" t="s">
        <v>57</v>
      </c>
      <c r="E77" t="s">
        <v>58</v>
      </c>
      <c r="F77">
        <v>27.3</v>
      </c>
      <c r="G77">
        <v>25.5</v>
      </c>
      <c r="H77">
        <v>20.7</v>
      </c>
      <c r="I77">
        <v>26.4</v>
      </c>
      <c r="J77">
        <v>31.1</v>
      </c>
      <c r="K77">
        <v>25.4</v>
      </c>
      <c r="L77">
        <v>25</v>
      </c>
      <c r="M77">
        <v>22</v>
      </c>
      <c r="N77">
        <v>22.3</v>
      </c>
      <c r="Q77" s="3"/>
    </row>
    <row r="78" spans="1:17">
      <c r="A78">
        <v>72</v>
      </c>
      <c r="B78" t="s">
        <v>49</v>
      </c>
      <c r="C78" t="s">
        <v>431</v>
      </c>
      <c r="D78" t="s">
        <v>169</v>
      </c>
      <c r="E78" t="s">
        <v>170</v>
      </c>
      <c r="G78">
        <v>0.9</v>
      </c>
      <c r="H78">
        <v>1.1000000000000001</v>
      </c>
      <c r="I78">
        <v>0.7</v>
      </c>
      <c r="J78">
        <v>1.1000000000000001</v>
      </c>
      <c r="L78">
        <v>1.4</v>
      </c>
      <c r="M78">
        <v>1.2</v>
      </c>
      <c r="N78">
        <v>0.9</v>
      </c>
      <c r="Q78" s="3"/>
    </row>
    <row r="79" spans="1:17">
      <c r="A79">
        <v>73</v>
      </c>
      <c r="B79" t="s">
        <v>49</v>
      </c>
      <c r="C79" t="s">
        <v>432</v>
      </c>
      <c r="D79" t="s">
        <v>59</v>
      </c>
      <c r="E79" t="s">
        <v>60</v>
      </c>
      <c r="F79">
        <v>31</v>
      </c>
      <c r="G79">
        <v>11.8</v>
      </c>
      <c r="H79">
        <v>15</v>
      </c>
      <c r="I79">
        <v>32</v>
      </c>
      <c r="J79">
        <v>45.7</v>
      </c>
      <c r="K79">
        <v>81.2</v>
      </c>
      <c r="L79">
        <v>114.5</v>
      </c>
      <c r="M79">
        <v>119</v>
      </c>
      <c r="N79">
        <v>143.80000000000001</v>
      </c>
      <c r="Q79" s="3"/>
    </row>
    <row r="80" spans="1:17">
      <c r="A80">
        <v>74</v>
      </c>
      <c r="B80" t="s">
        <v>49</v>
      </c>
      <c r="C80" t="s">
        <v>433</v>
      </c>
      <c r="D80" t="s">
        <v>177</v>
      </c>
      <c r="E80" t="s">
        <v>178</v>
      </c>
      <c r="F80">
        <v>0.1</v>
      </c>
      <c r="G80">
        <v>0.1</v>
      </c>
      <c r="H80">
        <v>0.1</v>
      </c>
      <c r="I80">
        <v>0.1</v>
      </c>
      <c r="J80">
        <v>0.1</v>
      </c>
      <c r="L80">
        <v>0.1</v>
      </c>
      <c r="N80">
        <v>0.2</v>
      </c>
      <c r="Q80" s="3"/>
    </row>
    <row r="81" spans="1:17">
      <c r="F81">
        <f>SUM(F70:F80)</f>
        <v>624.19999999999993</v>
      </c>
      <c r="G81">
        <f t="shared" ref="G81:N81" si="5">SUM(G70:G80)</f>
        <v>408.6</v>
      </c>
      <c r="H81">
        <f t="shared" si="5"/>
        <v>454.90000000000009</v>
      </c>
      <c r="I81">
        <f t="shared" si="5"/>
        <v>362.1</v>
      </c>
      <c r="J81">
        <f t="shared" si="5"/>
        <v>293.90000000000003</v>
      </c>
      <c r="K81">
        <f t="shared" si="5"/>
        <v>527.79999999999995</v>
      </c>
      <c r="L81">
        <f t="shared" si="5"/>
        <v>603.70000000000005</v>
      </c>
      <c r="M81">
        <f t="shared" si="5"/>
        <v>594.90000000000009</v>
      </c>
      <c r="N81">
        <f t="shared" si="5"/>
        <v>713.40000000000009</v>
      </c>
      <c r="Q81" s="3"/>
    </row>
    <row r="82" spans="1:17">
      <c r="A82">
        <v>75</v>
      </c>
      <c r="B82" t="s">
        <v>62</v>
      </c>
      <c r="C82" t="s">
        <v>434</v>
      </c>
      <c r="D82" t="s">
        <v>61</v>
      </c>
      <c r="E82" t="s">
        <v>63</v>
      </c>
      <c r="F82">
        <v>47</v>
      </c>
      <c r="G82">
        <v>57.7</v>
      </c>
      <c r="H82">
        <v>52.7</v>
      </c>
      <c r="I82">
        <v>50.4</v>
      </c>
      <c r="J82">
        <v>41</v>
      </c>
      <c r="K82">
        <v>227.4</v>
      </c>
      <c r="L82">
        <v>217.7</v>
      </c>
      <c r="M82">
        <v>216.1</v>
      </c>
      <c r="N82">
        <v>203.1</v>
      </c>
      <c r="Q82" s="3"/>
    </row>
    <row r="83" spans="1:17">
      <c r="A83">
        <v>76</v>
      </c>
      <c r="B83" t="s">
        <v>62</v>
      </c>
      <c r="C83" t="s">
        <v>435</v>
      </c>
      <c r="D83" t="s">
        <v>186</v>
      </c>
      <c r="E83" t="s">
        <v>187</v>
      </c>
      <c r="F83">
        <v>0.4</v>
      </c>
      <c r="G83">
        <v>1.2</v>
      </c>
      <c r="H83">
        <v>0.8</v>
      </c>
      <c r="I83">
        <v>0.6</v>
      </c>
      <c r="J83">
        <v>0.4</v>
      </c>
      <c r="K83">
        <v>2</v>
      </c>
      <c r="L83">
        <v>2</v>
      </c>
      <c r="M83">
        <v>2</v>
      </c>
      <c r="N83">
        <v>1.5</v>
      </c>
      <c r="Q83" s="3"/>
    </row>
    <row r="84" spans="1:17">
      <c r="A84">
        <v>77</v>
      </c>
      <c r="B84" t="s">
        <v>62</v>
      </c>
      <c r="C84" t="s">
        <v>436</v>
      </c>
      <c r="D84" t="s">
        <v>192</v>
      </c>
      <c r="E84" t="s">
        <v>193</v>
      </c>
      <c r="F84">
        <v>1</v>
      </c>
      <c r="G84">
        <v>0.4</v>
      </c>
      <c r="H84">
        <v>0.4</v>
      </c>
      <c r="I84">
        <v>0.3</v>
      </c>
      <c r="J84">
        <v>0.3</v>
      </c>
      <c r="K84">
        <v>1.1000000000000001</v>
      </c>
      <c r="L84">
        <v>1</v>
      </c>
      <c r="M84">
        <v>1.1000000000000001</v>
      </c>
      <c r="N84">
        <v>1.1000000000000001</v>
      </c>
      <c r="Q84" s="3"/>
    </row>
    <row r="85" spans="1:17">
      <c r="A85">
        <v>78</v>
      </c>
      <c r="B85" t="s">
        <v>62</v>
      </c>
      <c r="C85" t="s">
        <v>437</v>
      </c>
      <c r="D85" t="s">
        <v>64</v>
      </c>
      <c r="E85" t="s">
        <v>65</v>
      </c>
      <c r="F85">
        <v>80.5</v>
      </c>
      <c r="G85">
        <v>53.7</v>
      </c>
      <c r="H85">
        <v>50.8</v>
      </c>
      <c r="I85">
        <v>51.5</v>
      </c>
      <c r="J85">
        <v>34.200000000000003</v>
      </c>
      <c r="K85">
        <v>82.8</v>
      </c>
      <c r="L85">
        <v>65.8</v>
      </c>
      <c r="M85">
        <v>79</v>
      </c>
      <c r="N85">
        <v>75.400000000000006</v>
      </c>
      <c r="Q85" s="3"/>
    </row>
    <row r="86" spans="1:17">
      <c r="A86">
        <v>79</v>
      </c>
      <c r="B86" t="s">
        <v>62</v>
      </c>
      <c r="C86" t="s">
        <v>438</v>
      </c>
      <c r="D86" t="s">
        <v>198</v>
      </c>
      <c r="E86" t="s">
        <v>199</v>
      </c>
      <c r="F86">
        <v>0.5</v>
      </c>
      <c r="G86">
        <v>1.1000000000000001</v>
      </c>
      <c r="H86">
        <v>0.8</v>
      </c>
      <c r="I86">
        <v>0.5</v>
      </c>
      <c r="J86">
        <v>0.2</v>
      </c>
      <c r="K86">
        <v>0.9</v>
      </c>
      <c r="L86">
        <v>0.3</v>
      </c>
      <c r="M86">
        <v>0.6</v>
      </c>
      <c r="N86">
        <v>0.3</v>
      </c>
      <c r="Q86" s="3"/>
    </row>
    <row r="87" spans="1:17">
      <c r="A87">
        <v>80</v>
      </c>
      <c r="B87" t="s">
        <v>62</v>
      </c>
      <c r="C87" t="s">
        <v>439</v>
      </c>
      <c r="D87" t="s">
        <v>208</v>
      </c>
      <c r="E87" t="s">
        <v>209</v>
      </c>
      <c r="F87">
        <v>0.3</v>
      </c>
      <c r="G87">
        <v>0.2</v>
      </c>
      <c r="I87">
        <v>0.3</v>
      </c>
      <c r="K87">
        <v>1.1000000000000001</v>
      </c>
      <c r="L87">
        <v>0.8</v>
      </c>
      <c r="M87">
        <v>0.9</v>
      </c>
      <c r="N87">
        <v>0.8</v>
      </c>
      <c r="Q87" s="3"/>
    </row>
    <row r="88" spans="1:17">
      <c r="A88">
        <v>81</v>
      </c>
      <c r="B88" t="s">
        <v>62</v>
      </c>
      <c r="C88" t="s">
        <v>440</v>
      </c>
      <c r="D88" t="s">
        <v>212</v>
      </c>
      <c r="E88" t="s">
        <v>213</v>
      </c>
      <c r="F88">
        <v>5</v>
      </c>
      <c r="G88">
        <v>10</v>
      </c>
      <c r="H88">
        <v>7.8</v>
      </c>
      <c r="I88">
        <v>7.3</v>
      </c>
      <c r="J88">
        <v>5.7</v>
      </c>
      <c r="K88">
        <v>2.4</v>
      </c>
      <c r="L88">
        <v>2.2000000000000002</v>
      </c>
      <c r="M88">
        <v>2.8</v>
      </c>
      <c r="N88">
        <v>2.7</v>
      </c>
      <c r="Q88" s="3"/>
    </row>
    <row r="89" spans="1:17">
      <c r="A89">
        <v>82</v>
      </c>
      <c r="B89" t="s">
        <v>62</v>
      </c>
      <c r="C89" t="s">
        <v>441</v>
      </c>
      <c r="D89" t="s">
        <v>223</v>
      </c>
      <c r="E89" t="s">
        <v>224</v>
      </c>
      <c r="F89">
        <v>0.4</v>
      </c>
      <c r="G89">
        <v>4.7</v>
      </c>
      <c r="H89">
        <v>3.6</v>
      </c>
      <c r="I89">
        <v>2.9</v>
      </c>
      <c r="J89">
        <v>1.8</v>
      </c>
      <c r="K89">
        <v>0.4</v>
      </c>
      <c r="L89">
        <v>0.6</v>
      </c>
      <c r="M89">
        <v>0.2</v>
      </c>
      <c r="N89">
        <v>0.5</v>
      </c>
      <c r="Q89" s="3"/>
    </row>
    <row r="90" spans="1:17">
      <c r="A90">
        <v>83</v>
      </c>
      <c r="B90" t="s">
        <v>62</v>
      </c>
      <c r="C90" t="s">
        <v>442</v>
      </c>
      <c r="D90" t="s">
        <v>227</v>
      </c>
      <c r="E90" t="s">
        <v>228</v>
      </c>
      <c r="F90">
        <v>0.1</v>
      </c>
      <c r="G90">
        <v>0.7</v>
      </c>
      <c r="H90">
        <v>0.7</v>
      </c>
      <c r="I90">
        <v>0.2</v>
      </c>
      <c r="J90">
        <v>0.3</v>
      </c>
      <c r="K90">
        <v>0.1</v>
      </c>
      <c r="Q90" s="3"/>
    </row>
    <row r="91" spans="1:17">
      <c r="A91">
        <v>84</v>
      </c>
      <c r="B91" t="s">
        <v>62</v>
      </c>
      <c r="C91" t="s">
        <v>443</v>
      </c>
      <c r="D91" t="s">
        <v>232</v>
      </c>
      <c r="E91" t="s">
        <v>150</v>
      </c>
      <c r="F91">
        <v>0.5</v>
      </c>
      <c r="G91">
        <v>0.8</v>
      </c>
      <c r="H91">
        <v>0.9</v>
      </c>
      <c r="I91">
        <v>0.7</v>
      </c>
      <c r="J91">
        <v>0.7</v>
      </c>
      <c r="K91">
        <v>6.6</v>
      </c>
      <c r="L91">
        <v>6.4</v>
      </c>
      <c r="M91">
        <v>7.2</v>
      </c>
      <c r="N91">
        <v>6.9</v>
      </c>
      <c r="Q91" s="3"/>
    </row>
    <row r="92" spans="1:17">
      <c r="A92">
        <v>85</v>
      </c>
      <c r="B92" t="s">
        <v>62</v>
      </c>
      <c r="C92" t="s">
        <v>444</v>
      </c>
      <c r="D92" t="s">
        <v>237</v>
      </c>
      <c r="E92" t="s">
        <v>238</v>
      </c>
      <c r="F92">
        <v>0.2</v>
      </c>
      <c r="G92">
        <v>5</v>
      </c>
      <c r="H92">
        <v>3.7</v>
      </c>
      <c r="I92">
        <v>3</v>
      </c>
      <c r="J92">
        <v>1.4</v>
      </c>
      <c r="K92">
        <v>0.2</v>
      </c>
      <c r="L92">
        <v>0.2</v>
      </c>
      <c r="M92">
        <v>0.1</v>
      </c>
      <c r="N92">
        <v>0.2</v>
      </c>
      <c r="Q92" s="3"/>
    </row>
    <row r="93" spans="1:17">
      <c r="A93">
        <v>86</v>
      </c>
      <c r="B93" t="s">
        <v>62</v>
      </c>
      <c r="C93" t="s">
        <v>445</v>
      </c>
      <c r="D93" t="s">
        <v>241</v>
      </c>
      <c r="E93" t="s">
        <v>202</v>
      </c>
      <c r="F93">
        <v>18.2</v>
      </c>
      <c r="G93">
        <v>14.6</v>
      </c>
      <c r="H93">
        <v>13.6</v>
      </c>
      <c r="I93">
        <v>11.4</v>
      </c>
      <c r="J93">
        <v>8.9</v>
      </c>
      <c r="K93">
        <v>28.4</v>
      </c>
      <c r="L93">
        <v>22.2</v>
      </c>
      <c r="M93">
        <v>25.2</v>
      </c>
      <c r="N93">
        <v>22.2</v>
      </c>
      <c r="Q93" s="3"/>
    </row>
    <row r="94" spans="1:17">
      <c r="A94">
        <v>87</v>
      </c>
      <c r="B94" t="s">
        <v>62</v>
      </c>
      <c r="C94" t="s">
        <v>446</v>
      </c>
      <c r="D94" t="s">
        <v>243</v>
      </c>
      <c r="E94" t="s">
        <v>244</v>
      </c>
      <c r="F94">
        <v>0.4</v>
      </c>
      <c r="G94">
        <v>0.1</v>
      </c>
      <c r="H94">
        <v>0.1</v>
      </c>
      <c r="Q94" s="3"/>
    </row>
    <row r="95" spans="1:17">
      <c r="A95">
        <v>88</v>
      </c>
      <c r="B95" t="s">
        <v>62</v>
      </c>
      <c r="C95" t="s">
        <v>447</v>
      </c>
      <c r="D95" t="s">
        <v>66</v>
      </c>
      <c r="E95" t="s">
        <v>67</v>
      </c>
      <c r="F95">
        <v>23.8</v>
      </c>
      <c r="G95">
        <v>16.600000000000001</v>
      </c>
      <c r="H95">
        <v>13.6</v>
      </c>
      <c r="I95">
        <v>15.2</v>
      </c>
      <c r="J95">
        <v>8.3000000000000007</v>
      </c>
      <c r="K95">
        <v>33.6</v>
      </c>
      <c r="L95">
        <v>26.8</v>
      </c>
      <c r="M95">
        <v>31.9</v>
      </c>
      <c r="N95">
        <v>30.4</v>
      </c>
      <c r="Q95" s="3"/>
    </row>
    <row r="96" spans="1:17">
      <c r="A96">
        <v>89</v>
      </c>
      <c r="B96" t="s">
        <v>62</v>
      </c>
      <c r="C96" t="s">
        <v>448</v>
      </c>
      <c r="D96" t="s">
        <v>251</v>
      </c>
      <c r="E96" t="s">
        <v>252</v>
      </c>
      <c r="K96">
        <v>0.9</v>
      </c>
      <c r="M96">
        <v>1</v>
      </c>
      <c r="N96">
        <v>1.1000000000000001</v>
      </c>
      <c r="Q96" s="3"/>
    </row>
    <row r="97" spans="1:17">
      <c r="A97">
        <v>90</v>
      </c>
      <c r="B97" t="s">
        <v>62</v>
      </c>
      <c r="C97" t="s">
        <v>449</v>
      </c>
      <c r="D97" t="s">
        <v>255</v>
      </c>
      <c r="E97" t="s">
        <v>256</v>
      </c>
      <c r="F97">
        <v>6.1</v>
      </c>
      <c r="G97">
        <v>18.3</v>
      </c>
      <c r="H97">
        <v>8.5</v>
      </c>
      <c r="I97">
        <v>4.5999999999999996</v>
      </c>
      <c r="J97">
        <v>5.9</v>
      </c>
      <c r="K97">
        <v>14.5</v>
      </c>
      <c r="L97">
        <v>18.8</v>
      </c>
      <c r="M97">
        <v>8.6999999999999993</v>
      </c>
      <c r="N97">
        <v>18.899999999999999</v>
      </c>
      <c r="Q97" s="3"/>
    </row>
    <row r="98" spans="1:17">
      <c r="A98">
        <v>91</v>
      </c>
      <c r="B98" t="s">
        <v>62</v>
      </c>
      <c r="C98" t="s">
        <v>450</v>
      </c>
      <c r="D98" t="s">
        <v>257</v>
      </c>
      <c r="E98" t="s">
        <v>258</v>
      </c>
      <c r="F98">
        <v>3.4</v>
      </c>
      <c r="G98">
        <v>9.8000000000000007</v>
      </c>
      <c r="H98">
        <v>7.9</v>
      </c>
      <c r="I98">
        <v>7.2</v>
      </c>
      <c r="J98">
        <v>4.7</v>
      </c>
      <c r="K98">
        <v>6.8</v>
      </c>
      <c r="L98">
        <v>6.4</v>
      </c>
      <c r="M98">
        <v>6.4</v>
      </c>
      <c r="N98">
        <v>5.9</v>
      </c>
      <c r="Q98" s="3"/>
    </row>
    <row r="99" spans="1:17">
      <c r="A99">
        <v>92</v>
      </c>
      <c r="B99" t="s">
        <v>62</v>
      </c>
      <c r="C99" t="s">
        <v>451</v>
      </c>
      <c r="D99" t="s">
        <v>263</v>
      </c>
      <c r="E99" t="s">
        <v>264</v>
      </c>
      <c r="F99">
        <v>0.2</v>
      </c>
      <c r="G99">
        <v>0.2</v>
      </c>
      <c r="K99">
        <v>0.6</v>
      </c>
      <c r="L99">
        <v>0.1</v>
      </c>
      <c r="M99">
        <v>0.2</v>
      </c>
      <c r="N99">
        <v>0.3</v>
      </c>
      <c r="Q99" s="3"/>
    </row>
    <row r="100" spans="1:17">
      <c r="A100">
        <v>93</v>
      </c>
      <c r="B100" t="s">
        <v>62</v>
      </c>
      <c r="C100" t="s">
        <v>452</v>
      </c>
      <c r="D100" t="s">
        <v>268</v>
      </c>
      <c r="E100" t="s">
        <v>269</v>
      </c>
      <c r="F100">
        <v>5.8</v>
      </c>
      <c r="G100">
        <v>6.2</v>
      </c>
      <c r="H100">
        <v>7.9</v>
      </c>
      <c r="I100">
        <v>3.3</v>
      </c>
      <c r="J100">
        <v>4</v>
      </c>
      <c r="K100">
        <v>12.9</v>
      </c>
      <c r="L100">
        <v>16.5</v>
      </c>
      <c r="M100">
        <v>12.1</v>
      </c>
      <c r="N100">
        <v>12.6</v>
      </c>
      <c r="Q100" s="3"/>
    </row>
    <row r="101" spans="1:17">
      <c r="A101">
        <v>94</v>
      </c>
      <c r="B101" t="s">
        <v>62</v>
      </c>
      <c r="C101" t="s">
        <v>453</v>
      </c>
      <c r="D101" t="s">
        <v>271</v>
      </c>
      <c r="E101" t="s">
        <v>272</v>
      </c>
      <c r="F101">
        <v>1.9</v>
      </c>
      <c r="G101">
        <v>5.3</v>
      </c>
      <c r="H101">
        <v>4.4000000000000004</v>
      </c>
      <c r="I101">
        <v>3.3</v>
      </c>
      <c r="J101">
        <v>2.2999999999999998</v>
      </c>
      <c r="K101">
        <v>1.7</v>
      </c>
      <c r="L101">
        <v>2.1</v>
      </c>
      <c r="M101">
        <v>2.5</v>
      </c>
      <c r="N101">
        <v>2.4</v>
      </c>
      <c r="Q101" s="3"/>
    </row>
    <row r="102" spans="1:17">
      <c r="A102">
        <v>95</v>
      </c>
      <c r="B102" t="s">
        <v>62</v>
      </c>
      <c r="C102" t="s">
        <v>454</v>
      </c>
      <c r="D102" t="s">
        <v>277</v>
      </c>
      <c r="E102" t="s">
        <v>278</v>
      </c>
      <c r="F102">
        <v>1.3</v>
      </c>
      <c r="G102">
        <v>0.8</v>
      </c>
      <c r="H102">
        <v>1.3</v>
      </c>
      <c r="I102">
        <v>0.8</v>
      </c>
      <c r="J102">
        <v>1</v>
      </c>
      <c r="K102">
        <v>3</v>
      </c>
      <c r="L102">
        <v>2.9</v>
      </c>
      <c r="M102">
        <v>3.1</v>
      </c>
      <c r="N102">
        <v>3.3</v>
      </c>
      <c r="Q102" s="3"/>
    </row>
    <row r="103" spans="1:17">
      <c r="A103">
        <v>96</v>
      </c>
      <c r="B103" t="s">
        <v>62</v>
      </c>
      <c r="C103" t="s">
        <v>455</v>
      </c>
      <c r="D103" t="s">
        <v>283</v>
      </c>
      <c r="E103" t="s">
        <v>284</v>
      </c>
      <c r="F103">
        <v>2.7</v>
      </c>
      <c r="G103">
        <v>2.7</v>
      </c>
      <c r="H103">
        <v>3.4</v>
      </c>
      <c r="I103">
        <v>2.9</v>
      </c>
      <c r="J103">
        <v>2.9</v>
      </c>
      <c r="K103">
        <v>1.1000000000000001</v>
      </c>
      <c r="L103">
        <v>0.8</v>
      </c>
      <c r="M103">
        <v>0.6</v>
      </c>
      <c r="N103">
        <v>1</v>
      </c>
      <c r="Q103" s="3"/>
    </row>
    <row r="104" spans="1:17">
      <c r="A104">
        <v>97</v>
      </c>
      <c r="B104" t="s">
        <v>62</v>
      </c>
      <c r="C104" t="s">
        <v>456</v>
      </c>
      <c r="D104" t="s">
        <v>287</v>
      </c>
      <c r="E104" t="s">
        <v>202</v>
      </c>
      <c r="F104">
        <v>10.199999999999999</v>
      </c>
      <c r="G104">
        <v>10.199999999999999</v>
      </c>
      <c r="H104">
        <v>8.9</v>
      </c>
      <c r="I104">
        <v>8.5</v>
      </c>
      <c r="J104">
        <v>6.4</v>
      </c>
      <c r="K104">
        <v>18.8</v>
      </c>
      <c r="L104">
        <v>17.2</v>
      </c>
      <c r="M104">
        <v>21</v>
      </c>
      <c r="N104">
        <v>19.2</v>
      </c>
      <c r="Q104" s="3"/>
    </row>
    <row r="105" spans="1:17">
      <c r="A105">
        <v>98</v>
      </c>
      <c r="B105" t="s">
        <v>62</v>
      </c>
      <c r="C105" t="s">
        <v>457</v>
      </c>
      <c r="D105" t="s">
        <v>292</v>
      </c>
      <c r="E105" t="s">
        <v>293</v>
      </c>
      <c r="F105">
        <v>0.4</v>
      </c>
      <c r="G105">
        <v>0.8</v>
      </c>
      <c r="H105">
        <v>0.6</v>
      </c>
      <c r="I105">
        <v>0.5</v>
      </c>
      <c r="J105">
        <v>0.3</v>
      </c>
      <c r="K105">
        <v>4.5</v>
      </c>
      <c r="L105">
        <v>4</v>
      </c>
      <c r="M105">
        <v>4.2</v>
      </c>
      <c r="N105">
        <v>3.1</v>
      </c>
      <c r="Q105" s="3"/>
    </row>
    <row r="106" spans="1:17">
      <c r="A106">
        <v>99</v>
      </c>
      <c r="B106" t="s">
        <v>62</v>
      </c>
      <c r="C106" t="s">
        <v>458</v>
      </c>
      <c r="D106" t="s">
        <v>294</v>
      </c>
      <c r="E106" t="s">
        <v>295</v>
      </c>
      <c r="F106">
        <v>5.0999999999999996</v>
      </c>
      <c r="G106">
        <v>3.8</v>
      </c>
      <c r="H106">
        <v>2.8</v>
      </c>
      <c r="I106">
        <v>3.4</v>
      </c>
      <c r="J106">
        <v>3.1</v>
      </c>
      <c r="K106">
        <v>11</v>
      </c>
      <c r="L106">
        <v>10.7</v>
      </c>
      <c r="M106">
        <v>13.4</v>
      </c>
      <c r="N106">
        <v>13.2</v>
      </c>
      <c r="Q106" s="3"/>
    </row>
    <row r="107" spans="1:17">
      <c r="A107">
        <v>100</v>
      </c>
      <c r="B107" t="s">
        <v>62</v>
      </c>
      <c r="C107" t="s">
        <v>459</v>
      </c>
      <c r="D107" t="s">
        <v>298</v>
      </c>
      <c r="E107" t="s">
        <v>69</v>
      </c>
      <c r="F107">
        <v>0.8</v>
      </c>
      <c r="G107">
        <v>1.4</v>
      </c>
      <c r="H107">
        <v>1.1000000000000001</v>
      </c>
      <c r="I107">
        <v>0.5</v>
      </c>
      <c r="J107">
        <v>0.5</v>
      </c>
      <c r="K107">
        <v>17.3</v>
      </c>
      <c r="L107">
        <v>16.100000000000001</v>
      </c>
      <c r="M107">
        <v>14.3</v>
      </c>
      <c r="N107">
        <v>12.3</v>
      </c>
      <c r="Q107" s="3"/>
    </row>
    <row r="108" spans="1:17">
      <c r="A108">
        <v>101</v>
      </c>
      <c r="B108" t="s">
        <v>62</v>
      </c>
      <c r="C108" t="s">
        <v>460</v>
      </c>
      <c r="D108" t="s">
        <v>307</v>
      </c>
      <c r="E108" t="s">
        <v>308</v>
      </c>
      <c r="F108">
        <v>1.2</v>
      </c>
      <c r="G108">
        <v>1.2</v>
      </c>
      <c r="H108">
        <v>0.6</v>
      </c>
      <c r="I108">
        <v>1</v>
      </c>
      <c r="J108">
        <v>0.4</v>
      </c>
      <c r="K108">
        <v>1.2</v>
      </c>
      <c r="L108">
        <v>1</v>
      </c>
      <c r="M108">
        <v>1.1000000000000001</v>
      </c>
      <c r="N108">
        <v>1</v>
      </c>
      <c r="Q108" s="3"/>
    </row>
    <row r="109" spans="1:17">
      <c r="A109">
        <v>102</v>
      </c>
      <c r="B109" t="s">
        <v>62</v>
      </c>
      <c r="C109" t="s">
        <v>461</v>
      </c>
      <c r="D109" t="s">
        <v>319</v>
      </c>
      <c r="E109" t="s">
        <v>320</v>
      </c>
      <c r="F109">
        <v>0.2</v>
      </c>
      <c r="G109">
        <v>0.1</v>
      </c>
      <c r="H109">
        <v>0.3</v>
      </c>
      <c r="M109">
        <v>0.1</v>
      </c>
      <c r="Q109" s="3"/>
    </row>
    <row r="110" spans="1:17">
      <c r="A110">
        <v>103</v>
      </c>
      <c r="B110" t="s">
        <v>62</v>
      </c>
      <c r="C110" t="s">
        <v>462</v>
      </c>
      <c r="D110" t="s">
        <v>323</v>
      </c>
      <c r="E110" t="s">
        <v>324</v>
      </c>
      <c r="F110">
        <v>0.3</v>
      </c>
      <c r="G110">
        <v>0.2</v>
      </c>
      <c r="H110">
        <v>0.2</v>
      </c>
      <c r="I110">
        <v>0.1</v>
      </c>
      <c r="N110">
        <v>0.1</v>
      </c>
      <c r="Q110" s="3"/>
    </row>
    <row r="111" spans="1:17">
      <c r="A111">
        <v>104</v>
      </c>
      <c r="B111" t="s">
        <v>62</v>
      </c>
      <c r="C111" t="s">
        <v>463</v>
      </c>
      <c r="D111" t="s">
        <v>329</v>
      </c>
      <c r="E111" t="s">
        <v>99</v>
      </c>
      <c r="F111">
        <v>0.3</v>
      </c>
      <c r="G111">
        <v>0.2</v>
      </c>
      <c r="H111">
        <v>0.2</v>
      </c>
      <c r="I111">
        <v>0.2</v>
      </c>
      <c r="K111">
        <v>0.3</v>
      </c>
      <c r="L111">
        <v>0.3</v>
      </c>
      <c r="M111">
        <v>0.3</v>
      </c>
      <c r="N111">
        <v>0.1</v>
      </c>
      <c r="Q111" s="3"/>
    </row>
    <row r="112" spans="1:17">
      <c r="A112">
        <v>105</v>
      </c>
      <c r="B112" t="s">
        <v>62</v>
      </c>
      <c r="C112" t="s">
        <v>464</v>
      </c>
      <c r="D112" t="s">
        <v>334</v>
      </c>
      <c r="E112" t="s">
        <v>335</v>
      </c>
      <c r="F112">
        <v>0.1</v>
      </c>
      <c r="G112">
        <v>0.1</v>
      </c>
      <c r="H112">
        <v>0.1</v>
      </c>
      <c r="Q112" s="3"/>
    </row>
    <row r="113" spans="1:17">
      <c r="A113">
        <v>106</v>
      </c>
      <c r="B113" t="s">
        <v>62</v>
      </c>
      <c r="C113" t="s">
        <v>465</v>
      </c>
      <c r="D113" t="s">
        <v>68</v>
      </c>
      <c r="E113" t="s">
        <v>69</v>
      </c>
      <c r="F113">
        <v>19.899999999999999</v>
      </c>
      <c r="G113">
        <v>16.899999999999999</v>
      </c>
      <c r="H113">
        <v>16.899999999999999</v>
      </c>
      <c r="I113">
        <v>16.8</v>
      </c>
      <c r="J113">
        <v>6.2</v>
      </c>
      <c r="K113">
        <v>69.7</v>
      </c>
      <c r="L113">
        <v>61.2</v>
      </c>
      <c r="M113">
        <v>66.599999999999994</v>
      </c>
      <c r="N113">
        <v>56.6</v>
      </c>
      <c r="Q113" s="3"/>
    </row>
    <row r="114" spans="1:17">
      <c r="A114">
        <v>107</v>
      </c>
      <c r="B114" t="s">
        <v>62</v>
      </c>
      <c r="C114" t="s">
        <v>466</v>
      </c>
      <c r="D114" t="s">
        <v>344</v>
      </c>
      <c r="E114" t="s">
        <v>345</v>
      </c>
      <c r="I114">
        <v>0.1</v>
      </c>
      <c r="Q114" s="3"/>
    </row>
    <row r="115" spans="1:17">
      <c r="A115">
        <v>108</v>
      </c>
      <c r="B115" t="s">
        <v>62</v>
      </c>
      <c r="C115" t="s">
        <v>467</v>
      </c>
      <c r="D115" t="s">
        <v>101</v>
      </c>
      <c r="E115" t="s">
        <v>102</v>
      </c>
      <c r="F115">
        <v>0.8</v>
      </c>
      <c r="G115">
        <v>0.4</v>
      </c>
      <c r="H115">
        <v>0.7</v>
      </c>
      <c r="I115">
        <v>0.4</v>
      </c>
      <c r="K115">
        <v>2</v>
      </c>
      <c r="L115">
        <v>1.6</v>
      </c>
      <c r="M115">
        <v>1.1000000000000001</v>
      </c>
      <c r="N115">
        <v>1.4</v>
      </c>
      <c r="Q115" s="3"/>
    </row>
    <row r="116" spans="1:17">
      <c r="A116">
        <v>109</v>
      </c>
      <c r="B116" t="s">
        <v>62</v>
      </c>
      <c r="C116" t="s">
        <v>468</v>
      </c>
      <c r="D116" t="s">
        <v>107</v>
      </c>
      <c r="E116" t="s">
        <v>108</v>
      </c>
      <c r="F116">
        <v>0.1</v>
      </c>
      <c r="G116">
        <v>0.1</v>
      </c>
      <c r="H116">
        <v>0.2</v>
      </c>
      <c r="J116">
        <v>0.1</v>
      </c>
      <c r="K116">
        <v>0.1</v>
      </c>
      <c r="M116">
        <v>0.1</v>
      </c>
      <c r="Q116" s="3"/>
    </row>
    <row r="117" spans="1:17">
      <c r="A117">
        <v>110</v>
      </c>
      <c r="B117" t="s">
        <v>62</v>
      </c>
      <c r="C117" t="s">
        <v>469</v>
      </c>
      <c r="D117" t="s">
        <v>109</v>
      </c>
      <c r="E117" t="s">
        <v>110</v>
      </c>
      <c r="F117">
        <v>1.8</v>
      </c>
      <c r="G117">
        <v>0.9</v>
      </c>
      <c r="H117">
        <v>1</v>
      </c>
      <c r="I117">
        <v>1</v>
      </c>
      <c r="J117">
        <v>0.5</v>
      </c>
      <c r="K117">
        <v>3</v>
      </c>
      <c r="L117">
        <v>3.5</v>
      </c>
      <c r="M117">
        <v>2.7</v>
      </c>
      <c r="N117">
        <v>2.5</v>
      </c>
      <c r="Q117" s="3"/>
    </row>
    <row r="118" spans="1:17">
      <c r="A118">
        <v>111</v>
      </c>
      <c r="B118" t="s">
        <v>62</v>
      </c>
      <c r="C118" t="s">
        <v>470</v>
      </c>
      <c r="D118" t="s">
        <v>111</v>
      </c>
      <c r="E118" t="s">
        <v>112</v>
      </c>
      <c r="F118">
        <v>1.1000000000000001</v>
      </c>
      <c r="G118">
        <v>0.7</v>
      </c>
      <c r="H118">
        <v>1.1000000000000001</v>
      </c>
      <c r="I118">
        <v>0.3</v>
      </c>
      <c r="J118">
        <v>0.3</v>
      </c>
      <c r="K118">
        <v>2.1</v>
      </c>
      <c r="L118">
        <v>1.8</v>
      </c>
      <c r="M118">
        <v>2.4</v>
      </c>
      <c r="N118">
        <v>1.6</v>
      </c>
      <c r="Q118" s="3"/>
    </row>
    <row r="119" spans="1:17">
      <c r="A119">
        <v>112</v>
      </c>
      <c r="B119" t="s">
        <v>62</v>
      </c>
      <c r="C119" t="s">
        <v>471</v>
      </c>
      <c r="D119" t="s">
        <v>134</v>
      </c>
      <c r="E119" t="s">
        <v>135</v>
      </c>
      <c r="G119">
        <v>0.3</v>
      </c>
      <c r="H119">
        <v>0.2</v>
      </c>
      <c r="M119">
        <v>0.6</v>
      </c>
      <c r="Q119" s="3"/>
    </row>
    <row r="120" spans="1:17">
      <c r="A120">
        <v>113</v>
      </c>
      <c r="B120" t="s">
        <v>62</v>
      </c>
      <c r="C120" t="s">
        <v>472</v>
      </c>
      <c r="D120" t="s">
        <v>138</v>
      </c>
      <c r="E120" t="s">
        <v>139</v>
      </c>
      <c r="F120">
        <v>0.2</v>
      </c>
      <c r="G120">
        <v>0.1</v>
      </c>
      <c r="H120">
        <v>0.1</v>
      </c>
      <c r="Q120" s="3"/>
    </row>
    <row r="121" spans="1:17">
      <c r="A121">
        <v>114</v>
      </c>
      <c r="B121" t="s">
        <v>62</v>
      </c>
      <c r="C121" t="s">
        <v>473</v>
      </c>
      <c r="D121" t="s">
        <v>142</v>
      </c>
      <c r="E121" t="s">
        <v>143</v>
      </c>
      <c r="F121">
        <v>0.9</v>
      </c>
      <c r="G121">
        <v>0.5</v>
      </c>
      <c r="H121">
        <v>1</v>
      </c>
      <c r="I121">
        <v>0.3</v>
      </c>
      <c r="J121">
        <v>0.4</v>
      </c>
      <c r="K121">
        <v>1.7</v>
      </c>
      <c r="L121">
        <v>1.1000000000000001</v>
      </c>
      <c r="M121">
        <v>1.2</v>
      </c>
      <c r="N121">
        <v>1.6</v>
      </c>
      <c r="Q121" s="3"/>
    </row>
    <row r="122" spans="1:17">
      <c r="A122">
        <v>115</v>
      </c>
      <c r="B122" t="s">
        <v>62</v>
      </c>
      <c r="C122" t="s">
        <v>474</v>
      </c>
      <c r="D122" t="s">
        <v>148</v>
      </c>
      <c r="E122" t="s">
        <v>149</v>
      </c>
      <c r="G122">
        <v>0.6</v>
      </c>
      <c r="L122">
        <v>1</v>
      </c>
      <c r="M122">
        <v>0.5</v>
      </c>
      <c r="Q122" s="3"/>
    </row>
    <row r="123" spans="1:17">
      <c r="A123">
        <v>116</v>
      </c>
      <c r="B123" t="s">
        <v>62</v>
      </c>
      <c r="C123" t="s">
        <v>475</v>
      </c>
      <c r="D123" t="s">
        <v>70</v>
      </c>
      <c r="E123" t="s">
        <v>71</v>
      </c>
      <c r="I123">
        <v>0.8</v>
      </c>
      <c r="K123">
        <v>1.3</v>
      </c>
      <c r="L123">
        <v>1.4</v>
      </c>
      <c r="M123">
        <v>0.4</v>
      </c>
      <c r="N123">
        <v>0.7</v>
      </c>
      <c r="Q123" s="3"/>
    </row>
    <row r="124" spans="1:17">
      <c r="A124">
        <v>117</v>
      </c>
      <c r="B124" t="s">
        <v>62</v>
      </c>
      <c r="C124" t="s">
        <v>476</v>
      </c>
      <c r="D124" t="s">
        <v>157</v>
      </c>
      <c r="E124" t="s">
        <v>158</v>
      </c>
      <c r="F124">
        <v>0.2</v>
      </c>
      <c r="G124">
        <v>0.2</v>
      </c>
      <c r="Q124" s="3"/>
    </row>
    <row r="125" spans="1:17">
      <c r="A125">
        <v>118</v>
      </c>
      <c r="B125" t="s">
        <v>62</v>
      </c>
      <c r="C125" t="s">
        <v>477</v>
      </c>
      <c r="D125" t="s">
        <v>159</v>
      </c>
      <c r="E125" t="s">
        <v>160</v>
      </c>
      <c r="G125">
        <v>0.2</v>
      </c>
      <c r="M125">
        <v>0.1</v>
      </c>
      <c r="Q125" s="3"/>
    </row>
    <row r="126" spans="1:17">
      <c r="A126">
        <v>119</v>
      </c>
      <c r="B126" t="s">
        <v>62</v>
      </c>
      <c r="C126" t="s">
        <v>478</v>
      </c>
      <c r="D126" t="s">
        <v>165</v>
      </c>
      <c r="E126" t="s">
        <v>166</v>
      </c>
      <c r="F126">
        <v>2.9</v>
      </c>
      <c r="G126">
        <v>2.7</v>
      </c>
      <c r="H126">
        <v>2</v>
      </c>
      <c r="I126">
        <v>1.4</v>
      </c>
      <c r="J126">
        <v>0.9</v>
      </c>
      <c r="K126">
        <v>6.1</v>
      </c>
      <c r="L126">
        <v>5</v>
      </c>
      <c r="M126">
        <v>5.2</v>
      </c>
      <c r="N126">
        <v>5.2</v>
      </c>
      <c r="Q126" s="3"/>
    </row>
    <row r="127" spans="1:17">
      <c r="A127">
        <v>120</v>
      </c>
      <c r="B127" t="s">
        <v>62</v>
      </c>
      <c r="C127" t="s">
        <v>479</v>
      </c>
      <c r="D127" t="s">
        <v>72</v>
      </c>
      <c r="E127" t="s">
        <v>73</v>
      </c>
      <c r="F127">
        <v>67.2</v>
      </c>
      <c r="G127">
        <v>51.3</v>
      </c>
      <c r="H127">
        <v>25.5</v>
      </c>
      <c r="I127">
        <v>25.5</v>
      </c>
      <c r="J127">
        <v>17</v>
      </c>
      <c r="K127">
        <v>56.6</v>
      </c>
      <c r="L127">
        <v>46.1</v>
      </c>
      <c r="M127">
        <v>61.7</v>
      </c>
      <c r="N127">
        <v>84</v>
      </c>
      <c r="Q127" s="3"/>
    </row>
    <row r="128" spans="1:17">
      <c r="A128">
        <v>121</v>
      </c>
      <c r="B128" t="s">
        <v>62</v>
      </c>
      <c r="C128" t="s">
        <v>480</v>
      </c>
      <c r="D128" t="s">
        <v>74</v>
      </c>
      <c r="E128" t="s">
        <v>75</v>
      </c>
      <c r="G128">
        <v>0.1</v>
      </c>
      <c r="J128">
        <v>0.1</v>
      </c>
      <c r="K128">
        <v>0.8</v>
      </c>
      <c r="Q128" s="3"/>
    </row>
    <row r="129" spans="1:17">
      <c r="A129">
        <v>122</v>
      </c>
      <c r="B129" t="s">
        <v>62</v>
      </c>
      <c r="C129" t="s">
        <v>481</v>
      </c>
      <c r="D129" t="s">
        <v>181</v>
      </c>
      <c r="E129" t="s">
        <v>182</v>
      </c>
      <c r="F129">
        <v>0.4</v>
      </c>
      <c r="G129">
        <v>0.4</v>
      </c>
      <c r="H129">
        <v>0.4</v>
      </c>
      <c r="I129">
        <v>0.4</v>
      </c>
      <c r="J129">
        <v>0.1</v>
      </c>
      <c r="K129">
        <v>0.5</v>
      </c>
      <c r="L129">
        <v>0.2</v>
      </c>
      <c r="M129">
        <v>0.2</v>
      </c>
      <c r="N129">
        <v>0.1</v>
      </c>
      <c r="Q129" s="3"/>
    </row>
    <row r="130" spans="1:17">
      <c r="A130">
        <v>123</v>
      </c>
      <c r="B130" t="s">
        <v>62</v>
      </c>
      <c r="C130" t="s">
        <v>482</v>
      </c>
      <c r="D130" t="s">
        <v>185</v>
      </c>
      <c r="E130" t="s">
        <v>158</v>
      </c>
      <c r="F130">
        <v>0.1</v>
      </c>
      <c r="Q130" s="3"/>
    </row>
    <row r="131" spans="1:17">
      <c r="A131">
        <v>124</v>
      </c>
      <c r="B131" t="s">
        <v>62</v>
      </c>
      <c r="C131" t="s">
        <v>483</v>
      </c>
      <c r="D131" t="s">
        <v>188</v>
      </c>
      <c r="E131" t="s">
        <v>189</v>
      </c>
      <c r="K131">
        <v>0.1</v>
      </c>
      <c r="L131">
        <v>0.2</v>
      </c>
      <c r="Q131" s="3"/>
    </row>
    <row r="132" spans="1:17">
      <c r="A132">
        <v>125</v>
      </c>
      <c r="B132" t="s">
        <v>62</v>
      </c>
      <c r="C132" t="s">
        <v>484</v>
      </c>
      <c r="D132" t="s">
        <v>190</v>
      </c>
      <c r="E132" t="s">
        <v>191</v>
      </c>
      <c r="F132">
        <v>10.3</v>
      </c>
      <c r="G132">
        <v>12.1</v>
      </c>
      <c r="H132">
        <v>9.6999999999999993</v>
      </c>
      <c r="I132">
        <v>4.4000000000000004</v>
      </c>
      <c r="J132">
        <v>7.4</v>
      </c>
      <c r="K132">
        <v>6.2</v>
      </c>
      <c r="L132">
        <v>9.1999999999999993</v>
      </c>
      <c r="M132">
        <v>7.6</v>
      </c>
      <c r="N132">
        <v>13.4</v>
      </c>
      <c r="Q132" s="3"/>
    </row>
    <row r="133" spans="1:17">
      <c r="A133">
        <v>126</v>
      </c>
      <c r="B133" t="s">
        <v>62</v>
      </c>
      <c r="C133" t="s">
        <v>485</v>
      </c>
      <c r="D133" t="s">
        <v>194</v>
      </c>
      <c r="E133" t="s">
        <v>195</v>
      </c>
      <c r="F133">
        <v>0.3</v>
      </c>
      <c r="G133">
        <v>0.3</v>
      </c>
      <c r="H133">
        <v>0.1</v>
      </c>
      <c r="I133">
        <v>0.2</v>
      </c>
      <c r="J133">
        <v>0.2</v>
      </c>
      <c r="K133">
        <v>0.3</v>
      </c>
      <c r="L133">
        <v>0.1</v>
      </c>
      <c r="M133">
        <v>0.2</v>
      </c>
      <c r="N133">
        <v>0.2</v>
      </c>
      <c r="Q133" s="3"/>
    </row>
    <row r="134" spans="1:17">
      <c r="A134">
        <v>127</v>
      </c>
      <c r="B134" t="s">
        <v>62</v>
      </c>
      <c r="C134" t="s">
        <v>486</v>
      </c>
      <c r="D134" t="s">
        <v>196</v>
      </c>
      <c r="E134" t="s">
        <v>197</v>
      </c>
      <c r="G134">
        <v>2.8</v>
      </c>
      <c r="K134">
        <v>2</v>
      </c>
      <c r="Q134" s="3"/>
    </row>
    <row r="135" spans="1:17">
      <c r="A135">
        <v>128</v>
      </c>
      <c r="B135" t="s">
        <v>62</v>
      </c>
      <c r="C135" t="s">
        <v>487</v>
      </c>
      <c r="D135" t="s">
        <v>203</v>
      </c>
      <c r="E135" t="s">
        <v>204</v>
      </c>
      <c r="F135">
        <v>1.8</v>
      </c>
      <c r="G135">
        <v>5.9</v>
      </c>
      <c r="H135">
        <v>3.2</v>
      </c>
      <c r="I135">
        <v>1.2</v>
      </c>
      <c r="J135">
        <v>0.3</v>
      </c>
      <c r="K135">
        <v>1.1000000000000001</v>
      </c>
      <c r="L135">
        <v>1.3</v>
      </c>
      <c r="M135">
        <v>2.5</v>
      </c>
      <c r="N135">
        <v>1.8</v>
      </c>
      <c r="Q135" s="3"/>
    </row>
    <row r="136" spans="1:17">
      <c r="A136">
        <v>129</v>
      </c>
      <c r="B136" t="s">
        <v>62</v>
      </c>
      <c r="C136" t="s">
        <v>488</v>
      </c>
      <c r="D136" t="s">
        <v>205</v>
      </c>
      <c r="E136" t="s">
        <v>16</v>
      </c>
      <c r="F136">
        <v>1</v>
      </c>
      <c r="G136">
        <v>1.4</v>
      </c>
      <c r="H136">
        <v>2.6</v>
      </c>
      <c r="I136">
        <v>1.9</v>
      </c>
      <c r="J136">
        <v>0.6</v>
      </c>
      <c r="K136">
        <v>2.2000000000000002</v>
      </c>
      <c r="L136">
        <v>0.8</v>
      </c>
      <c r="M136">
        <v>2.7</v>
      </c>
      <c r="N136">
        <v>1</v>
      </c>
      <c r="Q136" s="3"/>
    </row>
    <row r="137" spans="1:17">
      <c r="A137">
        <v>130</v>
      </c>
      <c r="B137" t="s">
        <v>62</v>
      </c>
      <c r="C137" t="s">
        <v>489</v>
      </c>
      <c r="D137" t="s">
        <v>210</v>
      </c>
      <c r="E137" t="s">
        <v>211</v>
      </c>
      <c r="F137">
        <v>12.2</v>
      </c>
      <c r="G137">
        <v>11.1</v>
      </c>
      <c r="H137">
        <v>12.4</v>
      </c>
      <c r="I137">
        <v>9.9</v>
      </c>
      <c r="J137">
        <v>3.8</v>
      </c>
      <c r="K137">
        <v>18.5</v>
      </c>
      <c r="L137">
        <v>16.7</v>
      </c>
      <c r="M137">
        <v>16.7</v>
      </c>
      <c r="N137">
        <v>14.9</v>
      </c>
      <c r="Q137" s="3"/>
    </row>
    <row r="138" spans="1:17">
      <c r="A138">
        <v>131</v>
      </c>
      <c r="B138" t="s">
        <v>62</v>
      </c>
      <c r="C138" t="s">
        <v>490</v>
      </c>
      <c r="D138" t="s">
        <v>214</v>
      </c>
      <c r="E138" t="s">
        <v>215</v>
      </c>
      <c r="G138">
        <v>0.6</v>
      </c>
      <c r="H138">
        <v>0.2</v>
      </c>
      <c r="I138">
        <v>0.5</v>
      </c>
      <c r="K138">
        <v>0.6</v>
      </c>
      <c r="L138">
        <v>0.4</v>
      </c>
      <c r="M138">
        <v>0.1</v>
      </c>
      <c r="N138">
        <v>0.1</v>
      </c>
      <c r="Q138" s="3"/>
    </row>
    <row r="139" spans="1:17">
      <c r="A139">
        <v>132</v>
      </c>
      <c r="B139" t="s">
        <v>62</v>
      </c>
      <c r="C139" t="s">
        <v>491</v>
      </c>
      <c r="D139" t="s">
        <v>216</v>
      </c>
      <c r="E139" t="s">
        <v>217</v>
      </c>
      <c r="F139">
        <v>15.7</v>
      </c>
      <c r="G139">
        <v>27.6</v>
      </c>
      <c r="H139">
        <v>22</v>
      </c>
      <c r="I139">
        <v>20</v>
      </c>
      <c r="J139">
        <v>10.7</v>
      </c>
      <c r="K139">
        <v>19.899999999999999</v>
      </c>
      <c r="L139">
        <v>15.6</v>
      </c>
      <c r="M139">
        <v>18.100000000000001</v>
      </c>
      <c r="N139">
        <v>16.899999999999999</v>
      </c>
      <c r="Q139" s="3"/>
    </row>
    <row r="140" spans="1:17">
      <c r="A140">
        <v>133</v>
      </c>
      <c r="B140" t="s">
        <v>62</v>
      </c>
      <c r="C140" t="s">
        <v>492</v>
      </c>
      <c r="D140" t="s">
        <v>220</v>
      </c>
      <c r="E140" t="s">
        <v>211</v>
      </c>
      <c r="F140">
        <v>1.5</v>
      </c>
      <c r="G140">
        <v>2.7</v>
      </c>
      <c r="H140">
        <v>1.5</v>
      </c>
      <c r="I140">
        <v>1.6</v>
      </c>
      <c r="J140">
        <v>0.2</v>
      </c>
      <c r="K140">
        <v>5.3</v>
      </c>
      <c r="L140">
        <v>5.4</v>
      </c>
      <c r="M140">
        <v>5.9</v>
      </c>
      <c r="N140">
        <v>4.5999999999999996</v>
      </c>
      <c r="Q140" s="3"/>
    </row>
    <row r="141" spans="1:17">
      <c r="A141">
        <v>134</v>
      </c>
      <c r="B141" t="s">
        <v>62</v>
      </c>
      <c r="C141" t="s">
        <v>493</v>
      </c>
      <c r="D141" t="s">
        <v>221</v>
      </c>
      <c r="E141" t="s">
        <v>222</v>
      </c>
      <c r="F141">
        <v>4.0999999999999996</v>
      </c>
      <c r="G141">
        <v>4.5</v>
      </c>
      <c r="H141">
        <v>3.5</v>
      </c>
      <c r="I141">
        <v>2.4</v>
      </c>
      <c r="J141">
        <v>2</v>
      </c>
      <c r="K141">
        <v>7.1</v>
      </c>
      <c r="L141">
        <v>7.1</v>
      </c>
      <c r="M141">
        <v>7.1</v>
      </c>
      <c r="N141">
        <v>7.2</v>
      </c>
      <c r="Q141" s="3"/>
    </row>
    <row r="142" spans="1:17">
      <c r="A142">
        <v>135</v>
      </c>
      <c r="B142" t="s">
        <v>62</v>
      </c>
      <c r="C142" t="s">
        <v>494</v>
      </c>
      <c r="D142" t="s">
        <v>225</v>
      </c>
      <c r="E142" t="s">
        <v>226</v>
      </c>
      <c r="F142">
        <v>1.1000000000000001</v>
      </c>
      <c r="G142">
        <v>0.9</v>
      </c>
      <c r="H142">
        <v>0.8</v>
      </c>
      <c r="I142">
        <v>0.8</v>
      </c>
      <c r="J142">
        <v>0.2</v>
      </c>
      <c r="K142">
        <v>2.6</v>
      </c>
      <c r="L142">
        <v>2</v>
      </c>
      <c r="M142">
        <v>2.2000000000000002</v>
      </c>
      <c r="N142">
        <v>1.6</v>
      </c>
      <c r="Q142" s="3"/>
    </row>
    <row r="143" spans="1:17">
      <c r="A143">
        <v>136</v>
      </c>
      <c r="B143" t="s">
        <v>62</v>
      </c>
      <c r="C143" t="s">
        <v>495</v>
      </c>
      <c r="D143" t="s">
        <v>231</v>
      </c>
      <c r="E143" t="s">
        <v>77</v>
      </c>
      <c r="F143">
        <v>1.3</v>
      </c>
      <c r="G143">
        <v>1.2</v>
      </c>
      <c r="I143">
        <v>0.7</v>
      </c>
      <c r="K143">
        <v>0.8</v>
      </c>
      <c r="L143">
        <v>2.5</v>
      </c>
      <c r="M143">
        <v>1.7</v>
      </c>
      <c r="N143">
        <v>0.3</v>
      </c>
      <c r="Q143" s="3"/>
    </row>
    <row r="144" spans="1:17">
      <c r="A144">
        <v>137</v>
      </c>
      <c r="B144" t="s">
        <v>62</v>
      </c>
      <c r="C144" t="s">
        <v>496</v>
      </c>
      <c r="D144" t="s">
        <v>233</v>
      </c>
      <c r="E144" t="s">
        <v>234</v>
      </c>
      <c r="F144">
        <v>0.1</v>
      </c>
      <c r="Q144" s="3"/>
    </row>
    <row r="145" spans="1:17">
      <c r="A145">
        <v>138</v>
      </c>
      <c r="B145" t="s">
        <v>62</v>
      </c>
      <c r="C145" t="s">
        <v>497</v>
      </c>
      <c r="D145" t="s">
        <v>76</v>
      </c>
      <c r="E145" t="s">
        <v>77</v>
      </c>
      <c r="F145">
        <v>1.1000000000000001</v>
      </c>
      <c r="G145">
        <v>1.4</v>
      </c>
      <c r="H145">
        <v>0.9</v>
      </c>
      <c r="K145">
        <v>5.7</v>
      </c>
      <c r="L145">
        <v>5.4</v>
      </c>
      <c r="M145">
        <v>7.7</v>
      </c>
      <c r="N145">
        <v>8.6</v>
      </c>
      <c r="Q145" s="3"/>
    </row>
    <row r="146" spans="1:17">
      <c r="A146">
        <v>139</v>
      </c>
      <c r="B146" t="s">
        <v>62</v>
      </c>
      <c r="C146" t="s">
        <v>498</v>
      </c>
      <c r="D146" t="s">
        <v>235</v>
      </c>
      <c r="E146" t="s">
        <v>236</v>
      </c>
      <c r="K146">
        <v>2.1</v>
      </c>
      <c r="L146">
        <v>2.2000000000000002</v>
      </c>
      <c r="M146">
        <v>1</v>
      </c>
      <c r="N146">
        <v>0.9</v>
      </c>
      <c r="Q146" s="3"/>
    </row>
    <row r="147" spans="1:17">
      <c r="A147">
        <v>140</v>
      </c>
      <c r="B147" t="s">
        <v>62</v>
      </c>
      <c r="C147" t="s">
        <v>499</v>
      </c>
      <c r="D147" t="s">
        <v>239</v>
      </c>
      <c r="E147" t="s">
        <v>240</v>
      </c>
      <c r="F147">
        <v>0.8</v>
      </c>
      <c r="K147">
        <v>0.8</v>
      </c>
      <c r="Q147" s="3"/>
    </row>
    <row r="148" spans="1:17">
      <c r="A148">
        <v>141</v>
      </c>
      <c r="B148" t="s">
        <v>62</v>
      </c>
      <c r="C148" t="s">
        <v>500</v>
      </c>
      <c r="D148" t="s">
        <v>242</v>
      </c>
      <c r="E148" t="s">
        <v>100</v>
      </c>
      <c r="F148">
        <v>4.2</v>
      </c>
      <c r="G148">
        <v>9.8000000000000007</v>
      </c>
      <c r="H148">
        <v>6.6</v>
      </c>
      <c r="I148">
        <v>4.5</v>
      </c>
      <c r="J148">
        <v>2.9</v>
      </c>
      <c r="K148">
        <v>3.9</v>
      </c>
      <c r="L148">
        <v>3</v>
      </c>
      <c r="M148">
        <v>3.6</v>
      </c>
      <c r="N148">
        <v>5.4</v>
      </c>
      <c r="Q148" s="3"/>
    </row>
    <row r="149" spans="1:17">
      <c r="A149">
        <v>142</v>
      </c>
      <c r="B149" t="s">
        <v>62</v>
      </c>
      <c r="C149" t="s">
        <v>501</v>
      </c>
      <c r="D149" t="s">
        <v>249</v>
      </c>
      <c r="E149" t="s">
        <v>250</v>
      </c>
      <c r="F149">
        <v>0.2</v>
      </c>
      <c r="G149">
        <v>0.1</v>
      </c>
      <c r="H149">
        <v>0.1</v>
      </c>
      <c r="N149">
        <v>0.1</v>
      </c>
      <c r="Q149" s="3"/>
    </row>
    <row r="150" spans="1:17">
      <c r="F150">
        <f>SUM(F82:F149)</f>
        <v>369.60000000000014</v>
      </c>
      <c r="G150">
        <f t="shared" ref="G150:N150" si="6">SUM(G82:G149)</f>
        <v>385.9</v>
      </c>
      <c r="H150">
        <f t="shared" si="6"/>
        <v>310.39999999999998</v>
      </c>
      <c r="I150">
        <f t="shared" si="6"/>
        <v>275.70000000000005</v>
      </c>
      <c r="J150">
        <f t="shared" si="6"/>
        <v>188.60000000000002</v>
      </c>
      <c r="K150">
        <f t="shared" si="6"/>
        <v>704.70000000000016</v>
      </c>
      <c r="L150">
        <f t="shared" si="6"/>
        <v>637.70000000000016</v>
      </c>
      <c r="M150">
        <f t="shared" si="6"/>
        <v>676.00000000000068</v>
      </c>
      <c r="N150">
        <f t="shared" si="6"/>
        <v>670.30000000000007</v>
      </c>
      <c r="Q150" s="3"/>
    </row>
    <row r="151" spans="1:17">
      <c r="A151">
        <v>143</v>
      </c>
      <c r="B151" t="s">
        <v>79</v>
      </c>
      <c r="C151" t="s">
        <v>502</v>
      </c>
      <c r="D151" t="s">
        <v>78</v>
      </c>
      <c r="E151" t="s">
        <v>80</v>
      </c>
      <c r="F151">
        <v>36.5</v>
      </c>
      <c r="G151">
        <v>36.700000000000003</v>
      </c>
      <c r="H151">
        <v>32.9</v>
      </c>
      <c r="I151">
        <v>20.7</v>
      </c>
      <c r="J151">
        <v>29.1</v>
      </c>
      <c r="K151">
        <v>169.2</v>
      </c>
      <c r="L151">
        <v>144.30000000000001</v>
      </c>
      <c r="M151">
        <v>176.1</v>
      </c>
      <c r="N151">
        <v>142.80000000000001</v>
      </c>
      <c r="Q151" s="3"/>
    </row>
    <row r="152" spans="1:17">
      <c r="A152">
        <v>144</v>
      </c>
      <c r="B152" t="s">
        <v>79</v>
      </c>
      <c r="C152" t="s">
        <v>503</v>
      </c>
      <c r="D152" t="s">
        <v>81</v>
      </c>
      <c r="E152" t="s">
        <v>82</v>
      </c>
      <c r="F152">
        <v>11.3</v>
      </c>
      <c r="G152">
        <v>7.7</v>
      </c>
      <c r="H152">
        <v>7.9</v>
      </c>
      <c r="I152">
        <v>11.5</v>
      </c>
      <c r="J152">
        <v>8</v>
      </c>
      <c r="K152">
        <v>19.3</v>
      </c>
      <c r="L152">
        <v>28.5</v>
      </c>
      <c r="M152">
        <v>31.3</v>
      </c>
      <c r="N152">
        <v>14.5</v>
      </c>
      <c r="Q152" s="3"/>
    </row>
    <row r="153" spans="1:17">
      <c r="A153">
        <v>145</v>
      </c>
      <c r="B153" t="s">
        <v>79</v>
      </c>
      <c r="C153" t="s">
        <v>504</v>
      </c>
      <c r="D153" t="s">
        <v>259</v>
      </c>
      <c r="E153" t="s">
        <v>260</v>
      </c>
      <c r="F153">
        <v>0.2</v>
      </c>
      <c r="I153">
        <v>0.2</v>
      </c>
      <c r="K153">
        <v>2.1</v>
      </c>
      <c r="L153">
        <v>2.1</v>
      </c>
      <c r="M153">
        <v>2.2999999999999998</v>
      </c>
      <c r="N153">
        <v>0.6</v>
      </c>
      <c r="Q153" s="3"/>
    </row>
    <row r="154" spans="1:17">
      <c r="A154">
        <v>146</v>
      </c>
      <c r="B154" t="s">
        <v>79</v>
      </c>
      <c r="C154" t="s">
        <v>505</v>
      </c>
      <c r="D154" t="s">
        <v>265</v>
      </c>
      <c r="E154" t="s">
        <v>266</v>
      </c>
      <c r="F154">
        <v>3.4</v>
      </c>
      <c r="G154">
        <v>0.4</v>
      </c>
      <c r="H154">
        <v>0.7</v>
      </c>
      <c r="I154">
        <v>4.5</v>
      </c>
      <c r="J154">
        <v>0.1</v>
      </c>
      <c r="K154">
        <v>4</v>
      </c>
      <c r="L154">
        <v>3.4</v>
      </c>
      <c r="M154">
        <v>3.2</v>
      </c>
      <c r="N154">
        <v>0.1</v>
      </c>
      <c r="Q154" s="3"/>
    </row>
    <row r="155" spans="1:17">
      <c r="A155">
        <v>147</v>
      </c>
      <c r="B155" t="s">
        <v>79</v>
      </c>
      <c r="C155" t="s">
        <v>506</v>
      </c>
      <c r="D155" t="s">
        <v>83</v>
      </c>
      <c r="E155" t="s">
        <v>84</v>
      </c>
      <c r="F155">
        <v>12</v>
      </c>
      <c r="G155">
        <v>4.5</v>
      </c>
      <c r="H155">
        <v>5.5</v>
      </c>
      <c r="I155">
        <v>12.9</v>
      </c>
      <c r="J155">
        <v>4.7</v>
      </c>
      <c r="K155">
        <v>41</v>
      </c>
      <c r="L155">
        <v>39</v>
      </c>
      <c r="M155">
        <v>43</v>
      </c>
      <c r="N155">
        <v>16.3</v>
      </c>
      <c r="Q155" s="3"/>
    </row>
    <row r="156" spans="1:17">
      <c r="A156">
        <v>148</v>
      </c>
      <c r="B156" t="s">
        <v>79</v>
      </c>
      <c r="C156" t="s">
        <v>507</v>
      </c>
      <c r="D156" t="s">
        <v>508</v>
      </c>
      <c r="E156" t="s">
        <v>270</v>
      </c>
      <c r="K156">
        <v>9.1999999999999993</v>
      </c>
      <c r="L156">
        <v>10.6</v>
      </c>
      <c r="M156">
        <v>21.6</v>
      </c>
      <c r="Q156" s="3"/>
    </row>
    <row r="157" spans="1:17">
      <c r="A157">
        <v>149</v>
      </c>
      <c r="B157" t="s">
        <v>79</v>
      </c>
      <c r="C157" t="s">
        <v>509</v>
      </c>
      <c r="D157" t="s">
        <v>273</v>
      </c>
      <c r="E157" t="s">
        <v>274</v>
      </c>
      <c r="F157">
        <v>3.1</v>
      </c>
      <c r="G157">
        <v>0.4</v>
      </c>
      <c r="H157">
        <v>1.3</v>
      </c>
      <c r="I157">
        <v>3.6</v>
      </c>
      <c r="J157">
        <v>0.4</v>
      </c>
      <c r="K157">
        <v>2.7</v>
      </c>
      <c r="L157">
        <v>3</v>
      </c>
      <c r="M157">
        <v>3.2</v>
      </c>
      <c r="N157">
        <v>1.1000000000000001</v>
      </c>
      <c r="Q157" s="3"/>
    </row>
    <row r="158" spans="1:17">
      <c r="A158">
        <v>150</v>
      </c>
      <c r="B158" t="s">
        <v>79</v>
      </c>
      <c r="C158" t="s">
        <v>510</v>
      </c>
      <c r="D158" t="s">
        <v>275</v>
      </c>
      <c r="E158" t="s">
        <v>276</v>
      </c>
      <c r="F158">
        <v>0.3</v>
      </c>
      <c r="L158">
        <v>0.4</v>
      </c>
      <c r="M158">
        <v>0.1</v>
      </c>
      <c r="Q158" s="3"/>
    </row>
    <row r="159" spans="1:17">
      <c r="A159">
        <v>151</v>
      </c>
      <c r="B159" t="s">
        <v>79</v>
      </c>
      <c r="C159" t="s">
        <v>511</v>
      </c>
      <c r="D159" t="s">
        <v>279</v>
      </c>
      <c r="E159" t="s">
        <v>280</v>
      </c>
      <c r="F159">
        <v>8.3000000000000007</v>
      </c>
      <c r="G159">
        <v>1.6</v>
      </c>
      <c r="H159">
        <v>2.6</v>
      </c>
      <c r="I159">
        <v>11.8</v>
      </c>
      <c r="J159">
        <v>1.2</v>
      </c>
      <c r="K159">
        <v>6.1</v>
      </c>
      <c r="L159">
        <v>7.9</v>
      </c>
      <c r="M159">
        <v>8</v>
      </c>
      <c r="N159">
        <v>1.3</v>
      </c>
      <c r="Q159" s="3"/>
    </row>
    <row r="160" spans="1:17">
      <c r="A160">
        <v>152</v>
      </c>
      <c r="B160" t="s">
        <v>79</v>
      </c>
      <c r="C160" t="s">
        <v>512</v>
      </c>
      <c r="D160" t="s">
        <v>281</v>
      </c>
      <c r="E160" t="s">
        <v>282</v>
      </c>
      <c r="F160">
        <v>2.4</v>
      </c>
      <c r="G160">
        <v>1.3</v>
      </c>
      <c r="H160">
        <v>1.4</v>
      </c>
      <c r="I160">
        <v>2.7</v>
      </c>
      <c r="J160">
        <v>0.6</v>
      </c>
      <c r="K160">
        <v>1.9</v>
      </c>
      <c r="L160">
        <v>1.1000000000000001</v>
      </c>
      <c r="M160">
        <v>1.6</v>
      </c>
      <c r="N160">
        <v>0.2</v>
      </c>
      <c r="Q160" s="3"/>
    </row>
    <row r="161" spans="1:17">
      <c r="A161">
        <v>153</v>
      </c>
      <c r="B161" t="s">
        <v>79</v>
      </c>
      <c r="C161" t="s">
        <v>513</v>
      </c>
      <c r="D161" t="s">
        <v>285</v>
      </c>
      <c r="E161" t="s">
        <v>286</v>
      </c>
      <c r="F161">
        <v>1.1000000000000001</v>
      </c>
      <c r="G161">
        <v>0.3</v>
      </c>
      <c r="I161">
        <v>0.7</v>
      </c>
      <c r="K161">
        <v>0.4</v>
      </c>
      <c r="L161">
        <v>0.9</v>
      </c>
      <c r="M161">
        <v>0.2</v>
      </c>
      <c r="Q161" s="3"/>
    </row>
    <row r="162" spans="1:17">
      <c r="A162">
        <v>154</v>
      </c>
      <c r="B162" t="s">
        <v>79</v>
      </c>
      <c r="C162" t="s">
        <v>514</v>
      </c>
      <c r="D162" t="s">
        <v>288</v>
      </c>
      <c r="E162" t="s">
        <v>289</v>
      </c>
      <c r="F162">
        <v>1.5</v>
      </c>
      <c r="G162">
        <v>0.1</v>
      </c>
      <c r="H162">
        <v>0.4</v>
      </c>
      <c r="I162">
        <v>5</v>
      </c>
      <c r="K162">
        <v>4</v>
      </c>
      <c r="L162">
        <v>4.5</v>
      </c>
      <c r="M162">
        <v>3.2</v>
      </c>
      <c r="N162">
        <v>0.1</v>
      </c>
      <c r="Q162" s="3"/>
    </row>
    <row r="163" spans="1:17">
      <c r="A163">
        <v>155</v>
      </c>
      <c r="B163" t="s">
        <v>79</v>
      </c>
      <c r="C163" t="s">
        <v>515</v>
      </c>
      <c r="D163" t="s">
        <v>290</v>
      </c>
      <c r="E163" t="s">
        <v>291</v>
      </c>
      <c r="F163">
        <v>0.4</v>
      </c>
      <c r="H163">
        <v>0.1</v>
      </c>
      <c r="I163">
        <v>0.5</v>
      </c>
      <c r="K163">
        <v>0.6</v>
      </c>
      <c r="L163">
        <v>0.6</v>
      </c>
      <c r="M163">
        <v>0.4</v>
      </c>
      <c r="Q163" s="3"/>
    </row>
    <row r="164" spans="1:17">
      <c r="A164">
        <v>156</v>
      </c>
      <c r="B164" t="s">
        <v>79</v>
      </c>
      <c r="C164" t="s">
        <v>516</v>
      </c>
      <c r="D164" t="s">
        <v>296</v>
      </c>
      <c r="E164" t="s">
        <v>297</v>
      </c>
      <c r="I164">
        <v>0.2</v>
      </c>
      <c r="K164">
        <v>0.2</v>
      </c>
      <c r="Q164" s="3"/>
    </row>
    <row r="165" spans="1:17">
      <c r="A165">
        <v>157</v>
      </c>
      <c r="B165" t="s">
        <v>79</v>
      </c>
      <c r="C165" t="s">
        <v>517</v>
      </c>
      <c r="D165" t="s">
        <v>85</v>
      </c>
      <c r="E165" t="s">
        <v>86</v>
      </c>
      <c r="F165">
        <v>9.6</v>
      </c>
      <c r="G165">
        <v>1.3</v>
      </c>
      <c r="H165">
        <v>19.8</v>
      </c>
      <c r="I165">
        <v>123.8</v>
      </c>
      <c r="J165">
        <v>1.8</v>
      </c>
      <c r="K165">
        <v>7.5</v>
      </c>
      <c r="L165">
        <v>4.5</v>
      </c>
      <c r="M165">
        <v>2.1</v>
      </c>
      <c r="N165">
        <v>0.1</v>
      </c>
      <c r="Q165" s="3"/>
    </row>
    <row r="166" spans="1:17">
      <c r="A166">
        <v>158</v>
      </c>
      <c r="B166" t="s">
        <v>79</v>
      </c>
      <c r="C166" t="s">
        <v>518</v>
      </c>
      <c r="D166" t="s">
        <v>299</v>
      </c>
      <c r="E166" t="s">
        <v>300</v>
      </c>
      <c r="I166">
        <v>0.2</v>
      </c>
      <c r="Q166" s="3"/>
    </row>
    <row r="167" spans="1:17">
      <c r="A167">
        <v>159</v>
      </c>
      <c r="B167" t="s">
        <v>79</v>
      </c>
      <c r="C167" t="s">
        <v>519</v>
      </c>
      <c r="D167" t="s">
        <v>301</v>
      </c>
      <c r="E167" t="s">
        <v>302</v>
      </c>
      <c r="I167">
        <v>0.2</v>
      </c>
      <c r="Q167" s="3"/>
    </row>
    <row r="168" spans="1:17">
      <c r="A168">
        <v>160</v>
      </c>
      <c r="B168" t="s">
        <v>79</v>
      </c>
      <c r="C168" t="s">
        <v>520</v>
      </c>
      <c r="D168" t="s">
        <v>303</v>
      </c>
      <c r="E168" t="s">
        <v>304</v>
      </c>
      <c r="I168">
        <v>0.5</v>
      </c>
      <c r="Q168" s="3"/>
    </row>
    <row r="169" spans="1:17">
      <c r="F169">
        <f>SUM(F151:F168)</f>
        <v>90.1</v>
      </c>
      <c r="G169">
        <f t="shared" ref="G169:N169" si="7">SUM(G151:G168)</f>
        <v>54.3</v>
      </c>
      <c r="H169">
        <f t="shared" si="7"/>
        <v>72.599999999999994</v>
      </c>
      <c r="I169">
        <f t="shared" si="7"/>
        <v>199</v>
      </c>
      <c r="J169">
        <f t="shared" si="7"/>
        <v>45.900000000000006</v>
      </c>
      <c r="K169">
        <f t="shared" si="7"/>
        <v>268.2</v>
      </c>
      <c r="L169">
        <f t="shared" si="7"/>
        <v>250.8</v>
      </c>
      <c r="M169">
        <f t="shared" si="7"/>
        <v>296.3</v>
      </c>
      <c r="N169">
        <f t="shared" si="7"/>
        <v>177.1</v>
      </c>
      <c r="Q169" s="3"/>
    </row>
    <row r="170" spans="1:17">
      <c r="A170">
        <v>161</v>
      </c>
      <c r="B170" t="s">
        <v>88</v>
      </c>
      <c r="C170" t="s">
        <v>521</v>
      </c>
      <c r="D170" t="s">
        <v>87</v>
      </c>
      <c r="E170" t="s">
        <v>89</v>
      </c>
      <c r="J170">
        <v>52.2</v>
      </c>
      <c r="Q170" s="3"/>
    </row>
    <row r="171" spans="1:17">
      <c r="A171">
        <v>162</v>
      </c>
      <c r="B171" t="s">
        <v>88</v>
      </c>
      <c r="C171" t="s">
        <v>522</v>
      </c>
      <c r="D171" t="s">
        <v>90</v>
      </c>
      <c r="E171" t="s">
        <v>91</v>
      </c>
      <c r="J171">
        <v>52.9</v>
      </c>
      <c r="Q171" s="3"/>
    </row>
    <row r="172" spans="1:17">
      <c r="A172">
        <v>163</v>
      </c>
      <c r="B172" t="s">
        <v>88</v>
      </c>
      <c r="C172" t="s">
        <v>523</v>
      </c>
      <c r="D172" t="s">
        <v>309</v>
      </c>
      <c r="E172" t="s">
        <v>310</v>
      </c>
      <c r="F172">
        <v>0.4</v>
      </c>
      <c r="G172">
        <v>0.5</v>
      </c>
      <c r="H172">
        <v>0.6</v>
      </c>
      <c r="I172">
        <v>0.3</v>
      </c>
      <c r="J172">
        <v>0.2</v>
      </c>
      <c r="K172">
        <v>0.7</v>
      </c>
      <c r="L172">
        <v>0.5</v>
      </c>
      <c r="M172">
        <v>0.5</v>
      </c>
      <c r="N172">
        <v>0.5</v>
      </c>
      <c r="Q172" s="3"/>
    </row>
    <row r="173" spans="1:17">
      <c r="A173">
        <v>164</v>
      </c>
      <c r="B173" t="s">
        <v>88</v>
      </c>
      <c r="C173" t="s">
        <v>524</v>
      </c>
      <c r="D173" t="s">
        <v>315</v>
      </c>
      <c r="E173" t="s">
        <v>316</v>
      </c>
      <c r="F173">
        <v>0.8</v>
      </c>
      <c r="I173">
        <v>0.8</v>
      </c>
      <c r="J173">
        <v>1.1000000000000001</v>
      </c>
      <c r="K173">
        <v>0.9</v>
      </c>
      <c r="L173">
        <v>0.6</v>
      </c>
      <c r="M173">
        <v>0.6</v>
      </c>
      <c r="N173">
        <v>1.2</v>
      </c>
      <c r="Q173" s="3"/>
    </row>
    <row r="174" spans="1:17">
      <c r="A174">
        <v>165</v>
      </c>
      <c r="B174" t="s">
        <v>88</v>
      </c>
      <c r="C174" t="s">
        <v>525</v>
      </c>
      <c r="D174" t="s">
        <v>92</v>
      </c>
      <c r="E174" t="s">
        <v>93</v>
      </c>
      <c r="F174">
        <v>110.1</v>
      </c>
      <c r="G174">
        <v>65.7</v>
      </c>
      <c r="H174">
        <v>70.3</v>
      </c>
      <c r="I174">
        <v>71.7</v>
      </c>
      <c r="J174">
        <v>48.7</v>
      </c>
      <c r="K174">
        <v>181.9</v>
      </c>
      <c r="L174">
        <v>6.4</v>
      </c>
      <c r="M174">
        <v>7.6</v>
      </c>
      <c r="N174">
        <v>7.4</v>
      </c>
      <c r="Q174" s="3"/>
    </row>
    <row r="175" spans="1:17">
      <c r="A175">
        <v>166</v>
      </c>
      <c r="B175" t="s">
        <v>88</v>
      </c>
      <c r="C175" t="s">
        <v>526</v>
      </c>
      <c r="D175" t="s">
        <v>325</v>
      </c>
      <c r="E175" t="s">
        <v>326</v>
      </c>
      <c r="F175">
        <v>5.2</v>
      </c>
      <c r="G175">
        <v>5</v>
      </c>
      <c r="H175">
        <v>4</v>
      </c>
      <c r="I175">
        <v>5.4</v>
      </c>
      <c r="J175">
        <v>5</v>
      </c>
      <c r="K175">
        <v>5.7</v>
      </c>
      <c r="L175">
        <v>5.7</v>
      </c>
      <c r="M175">
        <v>4.5999999999999996</v>
      </c>
      <c r="N175">
        <v>4.5999999999999996</v>
      </c>
      <c r="Q175" s="3"/>
    </row>
    <row r="176" spans="1:17">
      <c r="A176">
        <v>167</v>
      </c>
      <c r="B176" t="s">
        <v>88</v>
      </c>
      <c r="C176" t="s">
        <v>527</v>
      </c>
      <c r="D176" t="s">
        <v>330</v>
      </c>
      <c r="E176" t="s">
        <v>331</v>
      </c>
      <c r="F176">
        <v>0.2</v>
      </c>
      <c r="G176">
        <v>0.2</v>
      </c>
      <c r="H176">
        <v>0.2</v>
      </c>
      <c r="I176">
        <v>0.3</v>
      </c>
      <c r="J176">
        <v>0.3</v>
      </c>
      <c r="K176">
        <v>0.4</v>
      </c>
      <c r="L176">
        <v>0.2</v>
      </c>
      <c r="M176">
        <v>0.3</v>
      </c>
      <c r="N176">
        <v>0.2</v>
      </c>
      <c r="Q176" s="3"/>
    </row>
    <row r="177" spans="1:17">
      <c r="A177">
        <v>168</v>
      </c>
      <c r="B177" t="s">
        <v>88</v>
      </c>
      <c r="C177" t="s">
        <v>528</v>
      </c>
      <c r="D177" t="s">
        <v>336</v>
      </c>
      <c r="E177" t="s">
        <v>337</v>
      </c>
      <c r="F177">
        <v>6.8</v>
      </c>
      <c r="G177">
        <v>6.5</v>
      </c>
      <c r="H177">
        <v>5.5</v>
      </c>
      <c r="I177">
        <v>5.9</v>
      </c>
      <c r="J177">
        <v>5.0999999999999996</v>
      </c>
      <c r="K177">
        <v>5.7</v>
      </c>
      <c r="L177">
        <v>4.8</v>
      </c>
      <c r="M177">
        <v>5</v>
      </c>
      <c r="N177">
        <v>5.8</v>
      </c>
      <c r="Q177" s="3"/>
    </row>
    <row r="178" spans="1:17">
      <c r="A178">
        <v>169</v>
      </c>
      <c r="B178" t="s">
        <v>88</v>
      </c>
      <c r="C178" t="s">
        <v>529</v>
      </c>
      <c r="D178" t="s">
        <v>340</v>
      </c>
      <c r="E178" t="s">
        <v>341</v>
      </c>
      <c r="F178">
        <v>4.5</v>
      </c>
      <c r="G178">
        <v>4.8</v>
      </c>
      <c r="H178">
        <v>5.0999999999999996</v>
      </c>
      <c r="I178">
        <v>5.4</v>
      </c>
      <c r="J178">
        <v>5.2</v>
      </c>
      <c r="K178">
        <v>5.6</v>
      </c>
      <c r="L178">
        <v>5.3</v>
      </c>
      <c r="M178">
        <v>5</v>
      </c>
      <c r="N178">
        <v>4.5999999999999996</v>
      </c>
      <c r="Q178" s="3"/>
    </row>
    <row r="179" spans="1:17">
      <c r="A179">
        <v>170</v>
      </c>
      <c r="B179" t="s">
        <v>88</v>
      </c>
      <c r="C179" t="s">
        <v>530</v>
      </c>
      <c r="D179" t="s">
        <v>94</v>
      </c>
      <c r="E179" t="s">
        <v>95</v>
      </c>
      <c r="G179">
        <v>9.3000000000000007</v>
      </c>
      <c r="H179">
        <v>16.399999999999999</v>
      </c>
      <c r="I179">
        <v>14.9</v>
      </c>
      <c r="J179">
        <v>38.799999999999997</v>
      </c>
      <c r="K179">
        <v>60.1</v>
      </c>
      <c r="Q179" s="3"/>
    </row>
    <row r="180" spans="1:17">
      <c r="F180">
        <f>SUM(F170:F179)</f>
        <v>128</v>
      </c>
      <c r="G180">
        <f t="shared" ref="G180:N180" si="8">SUM(G170:G179)</f>
        <v>92</v>
      </c>
      <c r="H180">
        <f t="shared" si="8"/>
        <v>102.1</v>
      </c>
      <c r="I180">
        <f t="shared" si="8"/>
        <v>104.70000000000002</v>
      </c>
      <c r="J180">
        <f t="shared" si="8"/>
        <v>209.5</v>
      </c>
      <c r="K180">
        <f t="shared" si="8"/>
        <v>261</v>
      </c>
      <c r="L180">
        <f t="shared" si="8"/>
        <v>23.5</v>
      </c>
      <c r="M180">
        <f t="shared" si="8"/>
        <v>23.6</v>
      </c>
      <c r="N180">
        <f t="shared" si="8"/>
        <v>24.299999999999997</v>
      </c>
      <c r="Q180" s="3"/>
    </row>
  </sheetData>
  <autoFilter ref="A1:N179" xr:uid="{9897E904-23D6-CC4B-8413-4708ABD73340}">
    <sortState xmlns:xlrd2="http://schemas.microsoft.com/office/spreadsheetml/2017/richdata2" ref="A2:N179">
      <sortCondition ref="A1:A179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Sheet3</vt:lpstr>
      <vt:lpstr>Sheet1</vt:lpstr>
      <vt:lpstr>Sheet2</vt:lpstr>
      <vt:lpstr>Sheet2!OLE_LINK4</vt:lpstr>
      <vt:lpstr>Sheet2!OLE_LINK5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2025-11-17T07:47:20Z</dcterms:created>
  <dcterms:modified xsi:type="dcterms:W3CDTF">2025-12-14T14:22:45Z</dcterms:modified>
</cp:coreProperties>
</file>